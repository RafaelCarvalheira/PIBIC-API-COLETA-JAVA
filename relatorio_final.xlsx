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rafae\Documents\GitHub\PIBIC-API-COLETA-JAVA\"/>
    </mc:Choice>
  </mc:AlternateContent>
  <xr:revisionPtr revIDLastSave="0" documentId="13_ncr:1_{31321A0C-11E5-4391-9A9E-A46418DD1073}" xr6:coauthVersionLast="47" xr6:coauthVersionMax="47" xr10:uidLastSave="{00000000-0000-0000-0000-000000000000}"/>
  <bookViews>
    <workbookView xWindow="22932" yWindow="-108" windowWidth="23256" windowHeight="12456" xr2:uid="{00000000-000D-0000-FFFF-FFFF00000000}"/>
  </bookViews>
  <sheets>
    <sheet name="CE" sheetId="1" r:id="rId1"/>
    <sheet name="CE_A" sheetId="3" r:id="rId2"/>
    <sheet name="CEc8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" i="3" l="1"/>
  <c r="U3" i="3"/>
  <c r="U2" i="3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N3" i="2" l="1"/>
  <c r="N3" i="1"/>
</calcChain>
</file>

<file path=xl/sharedStrings.xml><?xml version="1.0" encoding="utf-8"?>
<sst xmlns="http://schemas.openxmlformats.org/spreadsheetml/2006/main" count="396" uniqueCount="29">
  <si>
    <t>ID</t>
  </si>
  <si>
    <t>Num. Clientes</t>
  </si>
  <si>
    <t>OF (custo)</t>
  </si>
  <si>
    <t>Status</t>
  </si>
  <si>
    <t>GAP (%)</t>
  </si>
  <si>
    <t>Tempo (s)</t>
  </si>
  <si>
    <t>OPTIMAL</t>
  </si>
  <si>
    <t>TIME_LIMIT</t>
  </si>
  <si>
    <t>Num Clientes</t>
  </si>
  <si>
    <t>OF (Custo)</t>
  </si>
  <si>
    <t>Dif. % Média</t>
  </si>
  <si>
    <t>Dif. % Custo</t>
  </si>
  <si>
    <t>Gurobi — Método Exato</t>
  </si>
  <si>
    <t>Jsprit — Metaheurística</t>
  </si>
  <si>
    <t>Comparação</t>
  </si>
  <si>
    <t>OF Custo A</t>
  </si>
  <si>
    <t>OF Custo B</t>
  </si>
  <si>
    <t>OF Total</t>
  </si>
  <si>
    <t>Dif. % Total</t>
  </si>
  <si>
    <t>Dif. % Custo A</t>
  </si>
  <si>
    <t>Dif. % Custo B</t>
  </si>
  <si>
    <t>Gurobi — Sem Compartilhamento</t>
  </si>
  <si>
    <t>Jsprit — Sem Compartilhamento</t>
  </si>
  <si>
    <t>Legenda — Dif. % Custo</t>
  </si>
  <si>
    <t>Diferença % entre Metaheurística
e Método Exato: (Jsprit − Gurobi) / Gurobi</t>
  </si>
  <si>
    <t>■</t>
  </si>
  <si>
    <t>≥ 0  —  Jsprit ≥ Gurobi (esperado)</t>
  </si>
  <si>
    <t>&lt; 0  e  Status OPTIMAL  —  Jsprit achou solução melhor que o ótimo do Gurobi</t>
  </si>
  <si>
    <t>&lt; 0  e  Status TIME_LIMIT  —  Jsprit melhor, mas Gurobi não convergiu ao ótimo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</si>
</sst>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FFFFFF"/>
      <name val="Segoe UI"/>
    </font>
    <font>
      <b/>
      <sz val="10"/>
      <color rgb="FFFFFFFF"/>
      <name val="Segoe UI"/>
    </font>
    <font>
      <sz val="10"/>
      <color rgb="FF212121"/>
      <name val="Segoe UI"/>
    </font>
    <font>
      <b/>
      <sz val="10"/>
      <color rgb="FF1B5E20"/>
      <name val="Segoe UI"/>
    </font>
    <font>
      <b/>
      <sz val="10"/>
      <color rgb="FFE65100"/>
      <name val="Segoe UI"/>
    </font>
    <font>
      <b/>
      <sz val="10"/>
      <color rgb="FF212121"/>
      <name val="Segoe UI"/>
    </font>
    <font>
      <b/>
      <sz val="12"/>
      <color rgb="FFFFFFFF"/>
      <name val="Segoe UI"/>
    </font>
    <font>
      <b/>
      <sz val="14"/>
      <color rgb="FFFFFFFF"/>
      <name val="Segoe UI"/>
    </font>
    <font>
      <sz val="11"/>
      <color rgb="FF000000"/>
      <name val="Calibri"/>
      <scheme val="minor"/>
    </font>
    <font>
      <b/>
      <sz val="14"/>
      <color rgb="FFFFFFFF"/>
      <name val="Calibri"/>
      <family val="2"/>
      <scheme val="minor"/>
    </font>
    <font>
      <b/>
      <sz val="13"/>
      <color rgb="FFFFFFFF"/>
      <name val="Segoe UI"/>
    </font>
    <font>
      <i/>
      <sz val="9"/>
      <color rgb="FF455A64"/>
      <name val="Segoe UI"/>
    </font>
    <font>
      <sz val="9"/>
      <color rgb="FF212121"/>
      <name val="Segoe UI"/>
    </font>
    <font>
      <b/>
      <sz val="14"/>
      <color rgb="FF212121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1565C0"/>
        <bgColor indexed="64"/>
      </patternFill>
    </fill>
    <fill>
      <patternFill patternType="solid">
        <fgColor rgb="FFECEFF1"/>
        <bgColor indexed="64"/>
      </patternFill>
    </fill>
    <fill>
      <patternFill patternType="solid">
        <fgColor rgb="FF2E7D32"/>
        <bgColor indexed="64"/>
      </patternFill>
    </fill>
    <fill>
      <patternFill patternType="solid">
        <fgColor rgb="FF37474F"/>
        <bgColor indexed="64"/>
      </patternFill>
    </fill>
    <fill>
      <patternFill patternType="solid">
        <fgColor rgb="FF263238"/>
        <bgColor indexed="64"/>
      </patternFill>
    </fill>
    <fill>
      <patternFill patternType="solid">
        <fgColor rgb="FFF5F7FA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E5393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3E0"/>
        <bgColor indexed="64"/>
      </patternFill>
    </fill>
    <fill>
      <patternFill patternType="solid">
        <fgColor rgb="FFFDD835"/>
        <bgColor indexed="64"/>
      </patternFill>
    </fill>
    <fill>
      <patternFill patternType="solid">
        <fgColor rgb="FF43A047"/>
        <bgColor indexed="64"/>
      </patternFill>
    </fill>
    <fill>
      <patternFill patternType="solid">
        <fgColor rgb="FFF1F8F1"/>
        <bgColor indexed="64"/>
      </patternFill>
    </fill>
    <fill>
      <patternFill patternType="solid">
        <fgColor rgb="FFFFF5F5"/>
        <bgColor indexed="64"/>
      </patternFill>
    </fill>
    <fill>
      <patternFill patternType="solid">
        <fgColor rgb="FFFFFDE7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rgb="FFB0BEC5"/>
      </right>
      <top/>
      <bottom/>
      <diagonal/>
    </border>
    <border>
      <left style="thin">
        <color rgb="FFB0BEC5"/>
      </left>
      <right/>
      <top/>
      <bottom/>
      <diagonal/>
    </border>
    <border>
      <left style="thin">
        <color rgb="FFB0BEC5"/>
      </left>
      <right/>
      <top style="thin">
        <color rgb="FFB0BEC5"/>
      </top>
      <bottom/>
      <diagonal/>
    </border>
    <border>
      <left style="thin">
        <color rgb="FFB0BEC5"/>
      </left>
      <right/>
      <top/>
      <bottom style="thin">
        <color rgb="FFB0BEC5"/>
      </bottom>
      <diagonal/>
    </border>
    <border>
      <left/>
      <right style="thin">
        <color rgb="FFB0BEC5"/>
      </right>
      <top style="thin">
        <color rgb="FFB0BEC5"/>
      </top>
      <bottom/>
      <diagonal/>
    </border>
    <border>
      <left/>
      <right style="thin">
        <color rgb="FFB0BEC5"/>
      </right>
      <top/>
      <bottom style="thin">
        <color rgb="FFB0BEC5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0" fillId="3" borderId="0" xfId="0" applyFill="1"/>
    <xf numFmtId="0" fontId="2" fillId="6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4" fontId="4" fillId="7" borderId="1" xfId="0" applyNumberFormat="1" applyFont="1" applyFill="1" applyBorder="1" applyAlignment="1">
      <alignment horizontal="center" vertical="center"/>
    </xf>
    <xf numFmtId="0" fontId="0" fillId="10" borderId="0" xfId="0" applyFill="1"/>
    <xf numFmtId="0" fontId="4" fillId="10" borderId="0" xfId="0" applyFont="1" applyFill="1" applyAlignment="1">
      <alignment horizontal="center" vertical="center"/>
    </xf>
    <xf numFmtId="0" fontId="6" fillId="11" borderId="0" xfId="0" applyFont="1" applyFill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4" fontId="4" fillId="10" borderId="1" xfId="0" applyNumberFormat="1" applyFont="1" applyFill="1" applyBorder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10" fontId="9" fillId="4" borderId="0" xfId="0" applyNumberFormat="1" applyFont="1" applyFill="1" applyAlignment="1">
      <alignment horizontal="center" vertical="center"/>
    </xf>
    <xf numFmtId="0" fontId="3" fillId="6" borderId="3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4" fillId="10" borderId="0" xfId="0" applyFont="1" applyFill="1" applyAlignment="1">
      <alignment horizontal="center"/>
    </xf>
    <xf numFmtId="0" fontId="6" fillId="11" borderId="0" xfId="0" applyFont="1" applyFill="1" applyAlignment="1">
      <alignment horizontal="center"/>
    </xf>
    <xf numFmtId="0" fontId="4" fillId="10" borderId="1" xfId="0" applyFont="1" applyFill="1" applyBorder="1" applyAlignment="1">
      <alignment horizontal="center"/>
    </xf>
    <xf numFmtId="4" fontId="4" fillId="10" borderId="1" xfId="0" applyNumberFormat="1" applyFont="1" applyFill="1" applyBorder="1" applyAlignment="1">
      <alignment horizontal="center"/>
    </xf>
    <xf numFmtId="0" fontId="10" fillId="3" borderId="0" xfId="0" applyFont="1" applyFill="1"/>
    <xf numFmtId="0" fontId="10" fillId="10" borderId="0" xfId="0" applyFont="1" applyFill="1"/>
    <xf numFmtId="10" fontId="7" fillId="3" borderId="0" xfId="0" applyNumberFormat="1" applyFont="1" applyFill="1" applyAlignment="1">
      <alignment horizontal="center" vertical="center"/>
    </xf>
    <xf numFmtId="10" fontId="7" fillId="3" borderId="0" xfId="0" applyNumberFormat="1" applyFont="1" applyFill="1" applyAlignment="1">
      <alignment horizontal="center"/>
    </xf>
    <xf numFmtId="0" fontId="3" fillId="6" borderId="0" xfId="0" applyFont="1" applyFill="1" applyAlignment="1">
      <alignment horizontal="center"/>
    </xf>
    <xf numFmtId="0" fontId="4" fillId="7" borderId="0" xfId="0" applyFont="1" applyFill="1" applyAlignment="1">
      <alignment horizontal="center"/>
    </xf>
    <xf numFmtId="4" fontId="4" fillId="7" borderId="0" xfId="0" applyNumberFormat="1" applyFont="1" applyFill="1" applyAlignment="1">
      <alignment horizontal="center"/>
    </xf>
    <xf numFmtId="4" fontId="4" fillId="10" borderId="0" xfId="0" applyNumberFormat="1" applyFont="1" applyFill="1" applyAlignment="1">
      <alignment horizontal="center"/>
    </xf>
    <xf numFmtId="10" fontId="0" fillId="0" borderId="0" xfId="0" applyNumberFormat="1"/>
    <xf numFmtId="0" fontId="5" fillId="8" borderId="0" xfId="0" applyFont="1" applyFill="1" applyAlignment="1">
      <alignment horizontal="center"/>
    </xf>
    <xf numFmtId="4" fontId="4" fillId="7" borderId="5" xfId="0" applyNumberFormat="1" applyFont="1" applyFill="1" applyBorder="1" applyAlignment="1">
      <alignment horizontal="center"/>
    </xf>
    <xf numFmtId="4" fontId="4" fillId="10" borderId="5" xfId="0" applyNumberFormat="1" applyFont="1" applyFill="1" applyBorder="1" applyAlignment="1">
      <alignment horizontal="center"/>
    </xf>
    <xf numFmtId="10" fontId="0" fillId="0" borderId="6" xfId="0" applyNumberFormat="1" applyBorder="1"/>
    <xf numFmtId="10" fontId="9" fillId="4" borderId="0" xfId="0" applyNumberFormat="1" applyFont="1" applyFill="1" applyAlignment="1">
      <alignment horizontal="center"/>
    </xf>
    <xf numFmtId="0" fontId="3" fillId="6" borderId="0" xfId="0" applyFont="1" applyFill="1" applyAlignment="1">
      <alignment horizontal="center" vertical="center" wrapText="1"/>
    </xf>
    <xf numFmtId="0" fontId="3" fillId="6" borderId="5" xfId="0" applyFont="1" applyFill="1" applyBorder="1" applyAlignment="1">
      <alignment horizontal="center" vertical="center" wrapText="1"/>
    </xf>
    <xf numFmtId="0" fontId="3" fillId="6" borderId="6" xfId="0" applyFont="1" applyFill="1" applyBorder="1" applyAlignment="1">
      <alignment horizontal="center" vertical="center" wrapText="1"/>
    </xf>
    <xf numFmtId="10" fontId="3" fillId="4" borderId="0" xfId="0" applyNumberFormat="1" applyFont="1" applyFill="1" applyAlignment="1">
      <alignment horizontal="center" vertical="center" wrapText="1"/>
    </xf>
    <xf numFmtId="0" fontId="0" fillId="14" borderId="0" xfId="0" applyFill="1"/>
    <xf numFmtId="0" fontId="0" fillId="15" borderId="0" xfId="0" applyFill="1"/>
    <xf numFmtId="0" fontId="0" fillId="16" borderId="0" xfId="0" applyFill="1"/>
    <xf numFmtId="0" fontId="11" fillId="13" borderId="6" xfId="0" applyFont="1" applyFill="1" applyBorder="1" applyAlignment="1">
      <alignment horizontal="center" vertical="center"/>
    </xf>
    <xf numFmtId="0" fontId="11" fillId="9" borderId="6" xfId="0" applyFont="1" applyFill="1" applyBorder="1" applyAlignment="1">
      <alignment horizontal="center" vertical="center"/>
    </xf>
    <xf numFmtId="0" fontId="15" fillId="12" borderId="8" xfId="0" applyFont="1" applyFill="1" applyBorder="1" applyAlignment="1">
      <alignment horizontal="center" vertical="center"/>
    </xf>
    <xf numFmtId="0" fontId="14" fillId="14" borderId="5" xfId="0" applyFont="1" applyFill="1" applyBorder="1" applyAlignment="1">
      <alignment horizontal="left" vertical="center"/>
    </xf>
    <xf numFmtId="0" fontId="14" fillId="15" borderId="5" xfId="0" applyFont="1" applyFill="1" applyBorder="1" applyAlignment="1">
      <alignment horizontal="left" vertical="center" wrapText="1"/>
    </xf>
    <xf numFmtId="0" fontId="14" fillId="16" borderId="10" xfId="0" applyFont="1" applyFill="1" applyBorder="1" applyAlignment="1">
      <alignment horizontal="left" vertical="center" wrapText="1"/>
    </xf>
    <xf numFmtId="0" fontId="3" fillId="6" borderId="2" xfId="0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0" fillId="0" borderId="0" xfId="0"/>
    <xf numFmtId="0" fontId="8" fillId="4" borderId="0" xfId="0" applyFont="1" applyFill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13" fillId="3" borderId="6" xfId="0" applyFont="1" applyFill="1" applyBorder="1" applyAlignment="1">
      <alignment horizontal="center" vertical="center" wrapText="1"/>
    </xf>
    <xf numFmtId="0" fontId="13" fillId="3" borderId="5" xfId="0" applyFont="1" applyFill="1" applyBorder="1" applyAlignment="1">
      <alignment horizontal="center" vertical="center" wrapText="1"/>
    </xf>
    <xf numFmtId="0" fontId="12" fillId="2" borderId="0" xfId="0" applyFont="1" applyFill="1" applyAlignment="1">
      <alignment horizontal="center"/>
    </xf>
    <xf numFmtId="0" fontId="12" fillId="2" borderId="5" xfId="0" applyFont="1" applyFill="1" applyBorder="1" applyAlignment="1">
      <alignment horizontal="center"/>
    </xf>
    <xf numFmtId="0" fontId="8" fillId="4" borderId="6" xfId="0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8" fillId="5" borderId="6" xfId="0" applyFont="1" applyFill="1" applyBorder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0" fontId="0" fillId="0" borderId="4" xfId="0" applyBorder="1"/>
  </cellXfs>
  <cellStyles count="1">
    <cellStyle name="Normal" xfId="0" builtinId="0"/>
  </cellStyles>
  <dxfs count="13">
    <dxf>
      <font>
        <b/>
        <i val="0"/>
        <color rgb="FFFFFFFF"/>
      </font>
      <fill>
        <patternFill patternType="solid">
          <fgColor indexed="64"/>
          <bgColor rgb="FFE53935"/>
        </patternFill>
      </fill>
    </dxf>
    <dxf>
      <font>
        <b/>
        <i val="0"/>
        <color rgb="FF212121"/>
      </font>
      <fill>
        <patternFill patternType="solid">
          <fgColor indexed="64"/>
          <bgColor rgb="FFFDD835"/>
        </patternFill>
      </fill>
    </dxf>
    <dxf>
      <font>
        <b/>
        <i val="0"/>
        <color rgb="FFFFFFFF"/>
      </font>
      <fill>
        <patternFill patternType="solid">
          <fgColor indexed="64"/>
          <bgColor rgb="FF43A047"/>
        </patternFill>
      </fill>
    </dxf>
    <dxf>
      <font>
        <b/>
        <i val="0"/>
        <color rgb="FFFFFFFF"/>
      </font>
      <fill>
        <patternFill patternType="solid">
          <fgColor indexed="64"/>
          <bgColor rgb="FFE53935"/>
        </patternFill>
      </fill>
    </dxf>
    <dxf>
      <font>
        <b/>
        <i val="0"/>
        <color rgb="FF212121"/>
      </font>
      <fill>
        <patternFill patternType="solid">
          <fgColor indexed="64"/>
          <bgColor rgb="FFFDD835"/>
        </patternFill>
      </fill>
    </dxf>
    <dxf>
      <font>
        <b/>
        <i val="0"/>
        <color rgb="FFFFFFFF"/>
      </font>
      <fill>
        <patternFill patternType="solid">
          <fgColor indexed="64"/>
          <bgColor rgb="FFE53935"/>
        </patternFill>
      </fill>
    </dxf>
    <dxf>
      <font>
        <b/>
        <i val="0"/>
        <color rgb="FF212121"/>
      </font>
      <fill>
        <patternFill patternType="solid">
          <fgColor indexed="64"/>
          <bgColor rgb="FFFDD835"/>
        </patternFill>
      </fill>
    </dxf>
    <dxf>
      <font>
        <b/>
        <i val="0"/>
        <color rgb="FFFFFFFF"/>
      </font>
      <fill>
        <patternFill patternType="solid">
          <fgColor indexed="64"/>
          <bgColor rgb="FF43A047"/>
        </patternFill>
      </fill>
    </dxf>
    <dxf>
      <font>
        <b/>
        <i val="0"/>
        <color rgb="FFFFFFFF"/>
      </font>
      <fill>
        <patternFill patternType="solid">
          <fgColor indexed="64"/>
          <bgColor rgb="FFE53935"/>
        </patternFill>
      </fill>
    </dxf>
    <dxf>
      <font>
        <b/>
        <i val="0"/>
        <color rgb="FF212121"/>
      </font>
      <fill>
        <patternFill patternType="solid">
          <fgColor indexed="64"/>
          <bgColor rgb="FFFDD835"/>
        </patternFill>
      </fill>
    </dxf>
    <dxf>
      <font>
        <b/>
        <i val="0"/>
        <color rgb="FFFFFFFF"/>
      </font>
      <fill>
        <patternFill patternType="solid">
          <fgColor indexed="64"/>
          <bgColor rgb="FFE53935"/>
        </patternFill>
      </fill>
    </dxf>
    <dxf>
      <font>
        <b/>
        <i val="0"/>
        <color rgb="FF212121"/>
      </font>
      <fill>
        <patternFill patternType="solid">
          <fgColor indexed="64"/>
          <bgColor rgb="FFFDD835"/>
        </patternFill>
      </fill>
    </dxf>
    <dxf>
      <font>
        <b/>
        <i val="0"/>
        <color rgb="FFFFFFFF"/>
      </font>
      <fill>
        <patternFill patternType="solid">
          <fgColor indexed="64"/>
          <bgColor rgb="FF43A047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95D48F4-A071-4C48-AA72-0C2B49EC911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eed07fbd-97b4-438f-8000-9b7ffb0b56d3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14"/>
  <sheetViews>
    <sheetView tabSelected="1" workbookViewId="0">
      <selection activeCell="L3" sqref="L3"/>
    </sheetView>
  </sheetViews>
  <sheetFormatPr defaultRowHeight="14.4" x14ac:dyDescent="0.3"/>
  <cols>
    <col min="1" max="1" width="8.33203125" customWidth="1"/>
    <col min="2" max="2" width="17.5546875" customWidth="1"/>
    <col min="3" max="3" width="14.77734375" customWidth="1"/>
    <col min="4" max="4" width="16.6640625" customWidth="1"/>
    <col min="5" max="5" width="13.88671875" customWidth="1"/>
    <col min="6" max="6" width="16.6640625" customWidth="1"/>
    <col min="7" max="7" width="2.5546875" customWidth="1"/>
    <col min="8" max="8" width="8.33203125" customWidth="1"/>
    <col min="9" max="9" width="17.5546875" customWidth="1"/>
    <col min="10" max="11" width="14.77734375" customWidth="1"/>
    <col min="12" max="12" width="17.5546875" customWidth="1"/>
    <col min="13" max="13" width="2.5546875" customWidth="1"/>
    <col min="14" max="14" width="21.33203125" customWidth="1"/>
    <col min="16" max="16" width="4.109375" customWidth="1"/>
    <col min="17" max="17" width="38.88671875" customWidth="1"/>
    <col min="18" max="18" width="2.5546875" customWidth="1"/>
  </cols>
  <sheetData>
    <row r="1" spans="1:18" ht="28.05" customHeight="1" x14ac:dyDescent="0.3">
      <c r="A1" s="52" t="s">
        <v>12</v>
      </c>
      <c r="B1" s="53"/>
      <c r="C1" s="53"/>
      <c r="D1" s="53"/>
      <c r="E1" s="53"/>
      <c r="F1" s="53"/>
      <c r="G1" s="1"/>
      <c r="H1" s="54" t="s">
        <v>13</v>
      </c>
      <c r="I1" s="53"/>
      <c r="J1" s="53"/>
      <c r="K1" s="53"/>
      <c r="L1" s="15" t="s">
        <v>14</v>
      </c>
      <c r="M1" s="1"/>
      <c r="N1" s="2" t="s">
        <v>10</v>
      </c>
    </row>
    <row r="2" spans="1:18" ht="22.05" customHeight="1" x14ac:dyDescent="0.3">
      <c r="A2" s="3" t="s">
        <v>0</v>
      </c>
      <c r="B2" s="3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1"/>
      <c r="H2" s="4" t="s">
        <v>0</v>
      </c>
      <c r="I2" s="4" t="s">
        <v>8</v>
      </c>
      <c r="J2" s="4" t="s">
        <v>9</v>
      </c>
      <c r="K2" s="50" t="s">
        <v>5</v>
      </c>
      <c r="L2" s="51"/>
      <c r="M2" s="1"/>
      <c r="N2" s="5"/>
    </row>
    <row r="3" spans="1:18" ht="25.95" customHeight="1" x14ac:dyDescent="0.3">
      <c r="A3" s="6">
        <v>1</v>
      </c>
      <c r="B3" s="6">
        <v>23</v>
      </c>
      <c r="C3" s="6">
        <v>279.01</v>
      </c>
      <c r="D3" s="7" t="s">
        <v>6</v>
      </c>
      <c r="E3" s="6">
        <v>0</v>
      </c>
      <c r="F3" s="6">
        <v>966.3795159</v>
      </c>
      <c r="G3" s="1"/>
      <c r="H3" s="8">
        <v>1</v>
      </c>
      <c r="I3" s="8">
        <v>23</v>
      </c>
      <c r="J3" s="9">
        <v>282.76</v>
      </c>
      <c r="K3" s="8">
        <v>34.06</v>
      </c>
      <c r="L3" s="25">
        <f t="shared" ref="L3:L34" si="0">IF(C3=0,"",(J3-C3)/C3)</f>
        <v>1.3440378481058028E-2</v>
      </c>
      <c r="M3" s="1"/>
      <c r="N3" s="16">
        <f>AVERAGE(L3:L113)</f>
        <v>3.4521702633134774E-3</v>
      </c>
      <c r="P3" s="55" t="s">
        <v>23</v>
      </c>
      <c r="Q3" s="56"/>
    </row>
    <row r="4" spans="1:18" ht="36" customHeight="1" x14ac:dyDescent="0.3">
      <c r="A4" s="11">
        <v>2</v>
      </c>
      <c r="B4" s="11">
        <v>29</v>
      </c>
      <c r="C4" s="11">
        <v>335.82000000000011</v>
      </c>
      <c r="D4" s="12" t="s">
        <v>7</v>
      </c>
      <c r="E4" s="11">
        <v>6.5005062235721969</v>
      </c>
      <c r="F4" s="11">
        <v>7203.3703151999998</v>
      </c>
      <c r="G4" s="1"/>
      <c r="H4" s="13">
        <v>2</v>
      </c>
      <c r="I4" s="13">
        <v>29</v>
      </c>
      <c r="J4" s="14">
        <v>344.86</v>
      </c>
      <c r="K4" s="13">
        <v>66.33</v>
      </c>
      <c r="L4" s="25">
        <f t="shared" si="0"/>
        <v>2.6919182895598547E-2</v>
      </c>
      <c r="M4" s="1"/>
      <c r="N4" s="1"/>
      <c r="P4" s="57" t="s">
        <v>24</v>
      </c>
      <c r="Q4" s="58"/>
    </row>
    <row r="5" spans="1:18" ht="24" customHeight="1" x14ac:dyDescent="0.3">
      <c r="A5" s="6">
        <v>3</v>
      </c>
      <c r="B5" s="6">
        <v>20</v>
      </c>
      <c r="C5" s="6">
        <v>238.99</v>
      </c>
      <c r="D5" s="7" t="s">
        <v>6</v>
      </c>
      <c r="E5" s="6">
        <v>0</v>
      </c>
      <c r="F5" s="6">
        <v>357.90086700000001</v>
      </c>
      <c r="G5" s="1"/>
      <c r="H5" s="8">
        <v>3</v>
      </c>
      <c r="I5" s="8">
        <v>20</v>
      </c>
      <c r="J5" s="9">
        <v>239.1</v>
      </c>
      <c r="K5" s="8">
        <v>35.51</v>
      </c>
      <c r="L5" s="25">
        <f t="shared" si="0"/>
        <v>4.6027030419676645E-4</v>
      </c>
      <c r="M5" s="1"/>
      <c r="N5" s="10"/>
      <c r="P5" s="44" t="s">
        <v>25</v>
      </c>
      <c r="Q5" s="47" t="s">
        <v>26</v>
      </c>
      <c r="R5" s="41"/>
    </row>
    <row r="6" spans="1:18" ht="34.049999999999997" customHeight="1" x14ac:dyDescent="0.3">
      <c r="A6" s="11">
        <v>4</v>
      </c>
      <c r="B6" s="11">
        <v>23</v>
      </c>
      <c r="C6" s="11">
        <v>322.3</v>
      </c>
      <c r="D6" s="12" t="s">
        <v>7</v>
      </c>
      <c r="E6" s="11">
        <v>4.8991622711759293</v>
      </c>
      <c r="F6" s="11">
        <v>7201.0040903999998</v>
      </c>
      <c r="G6" s="1"/>
      <c r="H6" s="13">
        <v>4</v>
      </c>
      <c r="I6" s="13">
        <v>23</v>
      </c>
      <c r="J6" s="14">
        <v>322.3</v>
      </c>
      <c r="K6" s="13">
        <v>40.1</v>
      </c>
      <c r="L6" s="25">
        <f t="shared" si="0"/>
        <v>0</v>
      </c>
      <c r="M6" s="1"/>
      <c r="N6" s="10"/>
      <c r="P6" s="45" t="s">
        <v>25</v>
      </c>
      <c r="Q6" s="48" t="s">
        <v>27</v>
      </c>
      <c r="R6" s="42"/>
    </row>
    <row r="7" spans="1:18" ht="34.049999999999997" customHeight="1" x14ac:dyDescent="0.3">
      <c r="A7" s="6">
        <v>5</v>
      </c>
      <c r="B7" s="6">
        <v>24</v>
      </c>
      <c r="C7" s="6">
        <v>331.92999999999989</v>
      </c>
      <c r="D7" s="7" t="s">
        <v>6</v>
      </c>
      <c r="E7" s="6">
        <v>0</v>
      </c>
      <c r="F7" s="6">
        <v>3537.6915208</v>
      </c>
      <c r="G7" s="1"/>
      <c r="H7" s="8">
        <v>5</v>
      </c>
      <c r="I7" s="8">
        <v>24</v>
      </c>
      <c r="J7" s="9">
        <v>331.93</v>
      </c>
      <c r="K7" s="8">
        <v>41.02</v>
      </c>
      <c r="L7" s="25">
        <f t="shared" si="0"/>
        <v>3.4250244847291921E-16</v>
      </c>
      <c r="M7" s="1"/>
      <c r="N7" s="10"/>
      <c r="P7" s="46" t="s">
        <v>25</v>
      </c>
      <c r="Q7" s="49" t="s">
        <v>28</v>
      </c>
      <c r="R7" s="43"/>
    </row>
    <row r="8" spans="1:18" ht="7.95" customHeight="1" x14ac:dyDescent="0.3">
      <c r="A8" s="11">
        <v>6</v>
      </c>
      <c r="B8" s="11">
        <v>21</v>
      </c>
      <c r="C8" s="11">
        <v>230.08</v>
      </c>
      <c r="D8" s="7" t="s">
        <v>6</v>
      </c>
      <c r="E8" s="11">
        <v>0</v>
      </c>
      <c r="F8" s="11">
        <v>18.9271496</v>
      </c>
      <c r="G8" s="1"/>
      <c r="H8" s="13">
        <v>6</v>
      </c>
      <c r="I8" s="13">
        <v>21</v>
      </c>
      <c r="J8" s="14">
        <v>230.08</v>
      </c>
      <c r="K8" s="13">
        <v>41.81</v>
      </c>
      <c r="L8" s="25">
        <f t="shared" si="0"/>
        <v>0</v>
      </c>
      <c r="M8" s="1"/>
      <c r="N8" s="10"/>
      <c r="P8" s="1"/>
      <c r="Q8" s="1"/>
      <c r="R8" s="1"/>
    </row>
    <row r="9" spans="1:18" ht="18" customHeight="1" x14ac:dyDescent="0.3">
      <c r="A9" s="6">
        <v>7</v>
      </c>
      <c r="B9" s="6">
        <v>20</v>
      </c>
      <c r="C9" s="6">
        <v>156.93</v>
      </c>
      <c r="D9" s="7" t="s">
        <v>6</v>
      </c>
      <c r="E9" s="6">
        <v>0</v>
      </c>
      <c r="F9" s="6">
        <v>57.244128699999997</v>
      </c>
      <c r="G9" s="1"/>
      <c r="H9" s="8">
        <v>7</v>
      </c>
      <c r="I9" s="8">
        <v>20</v>
      </c>
      <c r="J9" s="9">
        <v>156.93</v>
      </c>
      <c r="K9" s="8">
        <v>37.99</v>
      </c>
      <c r="L9" s="25">
        <f t="shared" si="0"/>
        <v>0</v>
      </c>
      <c r="M9" s="1"/>
      <c r="N9" s="10"/>
    </row>
    <row r="10" spans="1:18" ht="18" customHeight="1" x14ac:dyDescent="0.3">
      <c r="A10" s="11">
        <v>8</v>
      </c>
      <c r="B10" s="11">
        <v>30</v>
      </c>
      <c r="C10" s="11">
        <v>248.1</v>
      </c>
      <c r="D10" s="12" t="s">
        <v>7</v>
      </c>
      <c r="E10" s="11">
        <v>1.785570334542435</v>
      </c>
      <c r="F10" s="11">
        <v>7200.9632396999996</v>
      </c>
      <c r="G10" s="1"/>
      <c r="H10" s="13">
        <v>8</v>
      </c>
      <c r="I10" s="13">
        <v>30</v>
      </c>
      <c r="J10" s="14">
        <v>243.6</v>
      </c>
      <c r="K10" s="13">
        <v>76.86</v>
      </c>
      <c r="L10" s="25">
        <f t="shared" si="0"/>
        <v>-1.8137847642079808E-2</v>
      </c>
      <c r="M10" s="1"/>
      <c r="N10" s="10"/>
    </row>
    <row r="11" spans="1:18" ht="18" customHeight="1" x14ac:dyDescent="0.3">
      <c r="A11" s="6">
        <v>9</v>
      </c>
      <c r="B11" s="6">
        <v>20</v>
      </c>
      <c r="C11" s="6">
        <v>392.06</v>
      </c>
      <c r="D11" s="7" t="s">
        <v>6</v>
      </c>
      <c r="E11" s="6">
        <v>0</v>
      </c>
      <c r="F11" s="6">
        <v>6.5910481000000001</v>
      </c>
      <c r="G11" s="1"/>
      <c r="H11" s="8">
        <v>9</v>
      </c>
      <c r="I11" s="8">
        <v>20</v>
      </c>
      <c r="J11" s="9">
        <v>392.06</v>
      </c>
      <c r="K11" s="8">
        <v>32.799999999999997</v>
      </c>
      <c r="L11" s="25">
        <f t="shared" si="0"/>
        <v>0</v>
      </c>
      <c r="M11" s="1"/>
      <c r="N11" s="10"/>
    </row>
    <row r="12" spans="1:18" ht="18" customHeight="1" x14ac:dyDescent="0.3">
      <c r="A12" s="11">
        <v>10</v>
      </c>
      <c r="B12" s="11">
        <v>20</v>
      </c>
      <c r="C12" s="11">
        <v>455.74</v>
      </c>
      <c r="D12" s="7" t="s">
        <v>6</v>
      </c>
      <c r="E12" s="11">
        <v>0</v>
      </c>
      <c r="F12" s="11">
        <v>27.088756100000001</v>
      </c>
      <c r="G12" s="1"/>
      <c r="H12" s="13">
        <v>10</v>
      </c>
      <c r="I12" s="13">
        <v>20</v>
      </c>
      <c r="J12" s="14">
        <v>455.73</v>
      </c>
      <c r="K12" s="13">
        <v>33.94</v>
      </c>
      <c r="L12" s="25">
        <f t="shared" si="0"/>
        <v>-2.1942335542175155E-5</v>
      </c>
      <c r="M12" s="1"/>
      <c r="N12" s="10"/>
    </row>
    <row r="13" spans="1:18" ht="18" customHeight="1" x14ac:dyDescent="0.3">
      <c r="A13" s="6">
        <v>11</v>
      </c>
      <c r="B13" s="6">
        <v>18</v>
      </c>
      <c r="C13" s="6">
        <v>499.42</v>
      </c>
      <c r="D13" s="7" t="s">
        <v>6</v>
      </c>
      <c r="E13" s="6">
        <v>0</v>
      </c>
      <c r="F13" s="6">
        <v>12.4410034</v>
      </c>
      <c r="G13" s="1"/>
      <c r="H13" s="8">
        <v>11</v>
      </c>
      <c r="I13" s="8">
        <v>18</v>
      </c>
      <c r="J13" s="9">
        <v>499.42</v>
      </c>
      <c r="K13" s="8">
        <v>24.07</v>
      </c>
      <c r="L13" s="25">
        <f t="shared" si="0"/>
        <v>0</v>
      </c>
      <c r="M13" s="1"/>
      <c r="N13" s="10"/>
    </row>
    <row r="14" spans="1:18" ht="18" customHeight="1" x14ac:dyDescent="0.3">
      <c r="A14" s="11">
        <v>12</v>
      </c>
      <c r="B14" s="11">
        <v>20</v>
      </c>
      <c r="C14" s="11">
        <v>755.36999999999989</v>
      </c>
      <c r="D14" s="7" t="s">
        <v>6</v>
      </c>
      <c r="E14" s="11">
        <v>0</v>
      </c>
      <c r="F14" s="11">
        <v>943.47048930000005</v>
      </c>
      <c r="G14" s="1"/>
      <c r="H14" s="13">
        <v>12</v>
      </c>
      <c r="I14" s="13">
        <v>20</v>
      </c>
      <c r="J14" s="14">
        <v>757.76</v>
      </c>
      <c r="K14" s="13">
        <v>28.72</v>
      </c>
      <c r="L14" s="25">
        <f t="shared" si="0"/>
        <v>3.1640123383243979E-3</v>
      </c>
      <c r="M14" s="1"/>
      <c r="N14" s="10"/>
    </row>
    <row r="15" spans="1:18" ht="18" customHeight="1" x14ac:dyDescent="0.3">
      <c r="A15" s="6">
        <v>8001</v>
      </c>
      <c r="B15" s="6">
        <v>10</v>
      </c>
      <c r="C15" s="6">
        <v>584.57999999999993</v>
      </c>
      <c r="D15" s="7" t="s">
        <v>6</v>
      </c>
      <c r="E15" s="6">
        <v>0</v>
      </c>
      <c r="F15" s="6">
        <v>4.6813263999999997</v>
      </c>
      <c r="G15" s="1"/>
      <c r="H15" s="8">
        <v>8001</v>
      </c>
      <c r="I15" s="8">
        <v>10</v>
      </c>
      <c r="J15" s="9">
        <v>584.58000000000004</v>
      </c>
      <c r="K15" s="8">
        <v>13.83</v>
      </c>
      <c r="L15" s="25">
        <f t="shared" si="0"/>
        <v>1.9447609860346923E-16</v>
      </c>
      <c r="M15" s="1"/>
      <c r="N15" s="10"/>
    </row>
    <row r="16" spans="1:18" ht="18" customHeight="1" x14ac:dyDescent="0.3">
      <c r="A16" s="11">
        <v>8002</v>
      </c>
      <c r="B16" s="11">
        <v>10</v>
      </c>
      <c r="C16" s="11">
        <v>442.97</v>
      </c>
      <c r="D16" s="7" t="s">
        <v>6</v>
      </c>
      <c r="E16" s="11">
        <v>0</v>
      </c>
      <c r="F16" s="11">
        <v>0.55155529999999997</v>
      </c>
      <c r="G16" s="1"/>
      <c r="H16" s="13">
        <v>8002</v>
      </c>
      <c r="I16" s="13">
        <v>10</v>
      </c>
      <c r="J16" s="14">
        <v>442.97</v>
      </c>
      <c r="K16" s="13">
        <v>14.08</v>
      </c>
      <c r="L16" s="25">
        <f t="shared" si="0"/>
        <v>0</v>
      </c>
      <c r="M16" s="1"/>
      <c r="N16" s="10"/>
    </row>
    <row r="17" spans="1:14" ht="18" customHeight="1" x14ac:dyDescent="0.3">
      <c r="A17" s="6">
        <v>8003</v>
      </c>
      <c r="B17" s="6">
        <v>10</v>
      </c>
      <c r="C17" s="6">
        <v>537.32999999999993</v>
      </c>
      <c r="D17" s="7" t="s">
        <v>6</v>
      </c>
      <c r="E17" s="6">
        <v>0</v>
      </c>
      <c r="F17" s="6">
        <v>0.63692570000000004</v>
      </c>
      <c r="G17" s="1"/>
      <c r="H17" s="8">
        <v>8003</v>
      </c>
      <c r="I17" s="8">
        <v>10</v>
      </c>
      <c r="J17" s="9">
        <v>537.33000000000004</v>
      </c>
      <c r="K17" s="8">
        <v>12.04</v>
      </c>
      <c r="L17" s="25">
        <f t="shared" si="0"/>
        <v>2.1157731323696061E-16</v>
      </c>
      <c r="M17" s="1"/>
      <c r="N17" s="10"/>
    </row>
    <row r="18" spans="1:14" ht="18" customHeight="1" x14ac:dyDescent="0.3">
      <c r="A18" s="11">
        <v>8004</v>
      </c>
      <c r="B18" s="11">
        <v>10</v>
      </c>
      <c r="C18" s="11">
        <v>505.07000000000011</v>
      </c>
      <c r="D18" s="7" t="s">
        <v>6</v>
      </c>
      <c r="E18" s="11">
        <v>0</v>
      </c>
      <c r="F18" s="11">
        <v>0.65479560000000003</v>
      </c>
      <c r="G18" s="1"/>
      <c r="H18" s="13">
        <v>8004</v>
      </c>
      <c r="I18" s="13">
        <v>10</v>
      </c>
      <c r="J18" s="14">
        <v>505.07</v>
      </c>
      <c r="K18" s="13">
        <v>11.86</v>
      </c>
      <c r="L18" s="25">
        <f t="shared" si="0"/>
        <v>-2.2509125016654328E-16</v>
      </c>
      <c r="M18" s="1"/>
      <c r="N18" s="10"/>
    </row>
    <row r="19" spans="1:14" ht="18" customHeight="1" x14ac:dyDescent="0.3">
      <c r="A19" s="6">
        <v>8005</v>
      </c>
      <c r="B19" s="6">
        <v>10</v>
      </c>
      <c r="C19" s="6">
        <v>449.84</v>
      </c>
      <c r="D19" s="7" t="s">
        <v>6</v>
      </c>
      <c r="E19" s="6">
        <v>0</v>
      </c>
      <c r="F19" s="6">
        <v>0.40781329999999999</v>
      </c>
      <c r="G19" s="1"/>
      <c r="H19" s="8">
        <v>8005</v>
      </c>
      <c r="I19" s="8">
        <v>10</v>
      </c>
      <c r="J19" s="9">
        <v>449.84</v>
      </c>
      <c r="K19" s="8">
        <v>11.94</v>
      </c>
      <c r="L19" s="25">
        <f t="shared" si="0"/>
        <v>0</v>
      </c>
      <c r="M19" s="1"/>
      <c r="N19" s="10"/>
    </row>
    <row r="20" spans="1:14" ht="18" customHeight="1" x14ac:dyDescent="0.3">
      <c r="A20" s="11">
        <v>8006</v>
      </c>
      <c r="B20" s="11">
        <v>15</v>
      </c>
      <c r="C20" s="11">
        <v>675.56999999999994</v>
      </c>
      <c r="D20" s="7" t="s">
        <v>6</v>
      </c>
      <c r="E20" s="11">
        <v>0</v>
      </c>
      <c r="F20" s="11">
        <v>70.410245200000006</v>
      </c>
      <c r="G20" s="1"/>
      <c r="H20" s="13">
        <v>8006</v>
      </c>
      <c r="I20" s="13">
        <v>15</v>
      </c>
      <c r="J20" s="14">
        <v>675.57</v>
      </c>
      <c r="K20" s="13">
        <v>20.239999999999998</v>
      </c>
      <c r="L20" s="25">
        <f t="shared" si="0"/>
        <v>1.6828283926405263E-16</v>
      </c>
      <c r="M20" s="1"/>
      <c r="N20" s="10"/>
    </row>
    <row r="21" spans="1:14" ht="18" customHeight="1" x14ac:dyDescent="0.3">
      <c r="A21" s="6">
        <v>8007</v>
      </c>
      <c r="B21" s="6">
        <v>15</v>
      </c>
      <c r="C21" s="6">
        <v>549.88</v>
      </c>
      <c r="D21" s="7" t="s">
        <v>6</v>
      </c>
      <c r="E21" s="6">
        <v>0</v>
      </c>
      <c r="F21" s="6">
        <v>4.7644225999999996</v>
      </c>
      <c r="G21" s="1"/>
      <c r="H21" s="8">
        <v>8007</v>
      </c>
      <c r="I21" s="8">
        <v>15</v>
      </c>
      <c r="J21" s="9">
        <v>549.88</v>
      </c>
      <c r="K21" s="8">
        <v>23.59</v>
      </c>
      <c r="L21" s="25">
        <f t="shared" si="0"/>
        <v>0</v>
      </c>
      <c r="M21" s="1"/>
      <c r="N21" s="10"/>
    </row>
    <row r="22" spans="1:14" ht="18" customHeight="1" x14ac:dyDescent="0.3">
      <c r="A22" s="11">
        <v>8008</v>
      </c>
      <c r="B22" s="11">
        <v>15</v>
      </c>
      <c r="C22" s="11">
        <v>576.65</v>
      </c>
      <c r="D22" s="7" t="s">
        <v>6</v>
      </c>
      <c r="E22" s="11">
        <v>0</v>
      </c>
      <c r="F22" s="11">
        <v>2.4326458</v>
      </c>
      <c r="G22" s="1"/>
      <c r="H22" s="13">
        <v>8008</v>
      </c>
      <c r="I22" s="13">
        <v>15</v>
      </c>
      <c r="J22" s="14">
        <v>576.65</v>
      </c>
      <c r="K22" s="13">
        <v>22.1</v>
      </c>
      <c r="L22" s="25">
        <f t="shared" si="0"/>
        <v>0</v>
      </c>
      <c r="M22" s="1"/>
      <c r="N22" s="10"/>
    </row>
    <row r="23" spans="1:14" ht="18" customHeight="1" x14ac:dyDescent="0.3">
      <c r="A23" s="6">
        <v>8009</v>
      </c>
      <c r="B23" s="6">
        <v>15</v>
      </c>
      <c r="C23" s="6">
        <v>550.86</v>
      </c>
      <c r="D23" s="7" t="s">
        <v>6</v>
      </c>
      <c r="E23" s="6">
        <v>0</v>
      </c>
      <c r="F23" s="6">
        <v>2.0725595000000001</v>
      </c>
      <c r="G23" s="1"/>
      <c r="H23" s="8">
        <v>8009</v>
      </c>
      <c r="I23" s="8">
        <v>15</v>
      </c>
      <c r="J23" s="9">
        <v>550.86</v>
      </c>
      <c r="K23" s="8">
        <v>21.75</v>
      </c>
      <c r="L23" s="25">
        <f t="shared" si="0"/>
        <v>0</v>
      </c>
      <c r="M23" s="1"/>
      <c r="N23" s="10"/>
    </row>
    <row r="24" spans="1:14" ht="18" customHeight="1" x14ac:dyDescent="0.3">
      <c r="A24" s="11">
        <v>8010</v>
      </c>
      <c r="B24" s="11">
        <v>15</v>
      </c>
      <c r="C24" s="11">
        <v>561.3900000000001</v>
      </c>
      <c r="D24" s="7" t="s">
        <v>6</v>
      </c>
      <c r="E24" s="11">
        <v>0</v>
      </c>
      <c r="F24" s="11">
        <v>1.8925457999999999</v>
      </c>
      <c r="G24" s="1"/>
      <c r="H24" s="13">
        <v>8010</v>
      </c>
      <c r="I24" s="13">
        <v>15</v>
      </c>
      <c r="J24" s="14">
        <v>561.39</v>
      </c>
      <c r="K24" s="13">
        <v>22.9</v>
      </c>
      <c r="L24" s="25">
        <f t="shared" si="0"/>
        <v>-2.0250955257773743E-16</v>
      </c>
      <c r="M24" s="1"/>
      <c r="N24" s="10"/>
    </row>
    <row r="25" spans="1:14" ht="18" customHeight="1" x14ac:dyDescent="0.3">
      <c r="A25" s="6">
        <v>8011</v>
      </c>
      <c r="B25" s="6">
        <v>20</v>
      </c>
      <c r="C25" s="6">
        <v>755.01</v>
      </c>
      <c r="D25" s="7" t="s">
        <v>6</v>
      </c>
      <c r="E25" s="6">
        <v>0</v>
      </c>
      <c r="F25" s="6">
        <v>559.50375929999996</v>
      </c>
      <c r="G25" s="1"/>
      <c r="H25" s="8">
        <v>8011</v>
      </c>
      <c r="I25" s="8">
        <v>20</v>
      </c>
      <c r="J25" s="9">
        <v>755.01</v>
      </c>
      <c r="K25" s="8">
        <v>30.83</v>
      </c>
      <c r="L25" s="25">
        <f t="shared" si="0"/>
        <v>0</v>
      </c>
      <c r="M25" s="1"/>
      <c r="N25" s="10"/>
    </row>
    <row r="26" spans="1:14" ht="18" customHeight="1" x14ac:dyDescent="0.3">
      <c r="A26" s="11">
        <v>8012</v>
      </c>
      <c r="B26" s="11">
        <v>20</v>
      </c>
      <c r="C26" s="11">
        <v>609.44999999999993</v>
      </c>
      <c r="D26" s="7" t="s">
        <v>6</v>
      </c>
      <c r="E26" s="11">
        <v>0</v>
      </c>
      <c r="F26" s="11">
        <v>21.558426499999999</v>
      </c>
      <c r="G26" s="1"/>
      <c r="H26" s="13">
        <v>8012</v>
      </c>
      <c r="I26" s="13">
        <v>20</v>
      </c>
      <c r="J26" s="14">
        <v>609.45000000000005</v>
      </c>
      <c r="K26" s="13">
        <v>35.65</v>
      </c>
      <c r="L26" s="25">
        <f t="shared" si="0"/>
        <v>1.8654005697205029E-16</v>
      </c>
      <c r="M26" s="1"/>
      <c r="N26" s="10"/>
    </row>
    <row r="27" spans="1:14" ht="18" customHeight="1" x14ac:dyDescent="0.3">
      <c r="A27" s="6">
        <v>8013</v>
      </c>
      <c r="B27" s="6">
        <v>20</v>
      </c>
      <c r="C27" s="6">
        <v>631.5200000000001</v>
      </c>
      <c r="D27" s="7" t="s">
        <v>6</v>
      </c>
      <c r="E27" s="6">
        <v>0</v>
      </c>
      <c r="F27" s="6">
        <v>13.055410800000001</v>
      </c>
      <c r="G27" s="1"/>
      <c r="H27" s="8">
        <v>8013</v>
      </c>
      <c r="I27" s="8">
        <v>20</v>
      </c>
      <c r="J27" s="9">
        <v>631.52</v>
      </c>
      <c r="K27" s="8">
        <v>34.659999999999997</v>
      </c>
      <c r="L27" s="25">
        <f t="shared" si="0"/>
        <v>-1.8002096168231571E-16</v>
      </c>
      <c r="M27" s="1"/>
      <c r="N27" s="10"/>
    </row>
    <row r="28" spans="1:14" ht="18" customHeight="1" x14ac:dyDescent="0.3">
      <c r="A28" s="11">
        <v>8014</v>
      </c>
      <c r="B28" s="11">
        <v>20</v>
      </c>
      <c r="C28" s="11">
        <v>553.33000000000004</v>
      </c>
      <c r="D28" s="7" t="s">
        <v>6</v>
      </c>
      <c r="E28" s="11">
        <v>0</v>
      </c>
      <c r="F28" s="11">
        <v>20.781061399999999</v>
      </c>
      <c r="G28" s="1"/>
      <c r="H28" s="13">
        <v>8014</v>
      </c>
      <c r="I28" s="13">
        <v>20</v>
      </c>
      <c r="J28" s="14">
        <v>553.33000000000004</v>
      </c>
      <c r="K28" s="13">
        <v>38.46</v>
      </c>
      <c r="L28" s="25">
        <f t="shared" si="0"/>
        <v>0</v>
      </c>
      <c r="M28" s="1"/>
      <c r="N28" s="10"/>
    </row>
    <row r="29" spans="1:14" ht="18" customHeight="1" x14ac:dyDescent="0.3">
      <c r="A29" s="6">
        <v>8015</v>
      </c>
      <c r="B29" s="6">
        <v>20</v>
      </c>
      <c r="C29" s="6">
        <v>564.62</v>
      </c>
      <c r="D29" s="7" t="s">
        <v>6</v>
      </c>
      <c r="E29" s="6">
        <v>0</v>
      </c>
      <c r="F29" s="6">
        <v>27.693795600000001</v>
      </c>
      <c r="G29" s="1"/>
      <c r="H29" s="8">
        <v>8015</v>
      </c>
      <c r="I29" s="8">
        <v>20</v>
      </c>
      <c r="J29" s="9">
        <v>564.62</v>
      </c>
      <c r="K29" s="8">
        <v>35.32</v>
      </c>
      <c r="L29" s="25">
        <f t="shared" si="0"/>
        <v>0</v>
      </c>
      <c r="M29" s="1"/>
      <c r="N29" s="10"/>
    </row>
    <row r="30" spans="1:14" ht="18" customHeight="1" x14ac:dyDescent="0.3">
      <c r="A30" s="11">
        <v>8016</v>
      </c>
      <c r="B30" s="11">
        <v>25</v>
      </c>
      <c r="C30" s="11">
        <v>1143.05</v>
      </c>
      <c r="D30" s="12" t="s">
        <v>7</v>
      </c>
      <c r="E30" s="11">
        <v>4.8991732645116732</v>
      </c>
      <c r="F30" s="11">
        <v>7200.9012339999999</v>
      </c>
      <c r="G30" s="1"/>
      <c r="H30" s="13">
        <v>8016</v>
      </c>
      <c r="I30" s="13">
        <v>25</v>
      </c>
      <c r="J30" s="14">
        <v>1143.05</v>
      </c>
      <c r="K30" s="13">
        <v>44.53</v>
      </c>
      <c r="L30" s="25">
        <f t="shared" si="0"/>
        <v>0</v>
      </c>
      <c r="M30" s="1"/>
      <c r="N30" s="10"/>
    </row>
    <row r="31" spans="1:14" ht="18" customHeight="1" x14ac:dyDescent="0.3">
      <c r="A31" s="6">
        <v>8017</v>
      </c>
      <c r="B31" s="6">
        <v>25</v>
      </c>
      <c r="C31" s="6">
        <v>702</v>
      </c>
      <c r="D31" s="7" t="s">
        <v>6</v>
      </c>
      <c r="E31" s="6">
        <v>0</v>
      </c>
      <c r="F31" s="6">
        <v>45.716817300000002</v>
      </c>
      <c r="G31" s="1"/>
      <c r="H31" s="8">
        <v>8017</v>
      </c>
      <c r="I31" s="8">
        <v>25</v>
      </c>
      <c r="J31" s="9">
        <v>702</v>
      </c>
      <c r="K31" s="8">
        <v>52.36</v>
      </c>
      <c r="L31" s="25">
        <f t="shared" si="0"/>
        <v>0</v>
      </c>
      <c r="M31" s="1"/>
      <c r="N31" s="10"/>
    </row>
    <row r="32" spans="1:14" ht="18" customHeight="1" x14ac:dyDescent="0.3">
      <c r="A32" s="11">
        <v>8018</v>
      </c>
      <c r="B32" s="11">
        <v>25</v>
      </c>
      <c r="C32" s="11">
        <v>667.34999999999991</v>
      </c>
      <c r="D32" s="7" t="s">
        <v>6</v>
      </c>
      <c r="E32" s="11">
        <v>0</v>
      </c>
      <c r="F32" s="11">
        <v>28.9356993</v>
      </c>
      <c r="G32" s="1"/>
      <c r="H32" s="13">
        <v>8018</v>
      </c>
      <c r="I32" s="13">
        <v>25</v>
      </c>
      <c r="J32" s="14">
        <v>668.23</v>
      </c>
      <c r="K32" s="13">
        <v>54.34</v>
      </c>
      <c r="L32" s="25">
        <f t="shared" si="0"/>
        <v>1.3186483854051236E-3</v>
      </c>
      <c r="M32" s="1"/>
      <c r="N32" s="10"/>
    </row>
    <row r="33" spans="1:14" ht="18" customHeight="1" x14ac:dyDescent="0.3">
      <c r="A33" s="6">
        <v>8019</v>
      </c>
      <c r="B33" s="6">
        <v>25</v>
      </c>
      <c r="C33" s="6">
        <v>622.30999999999995</v>
      </c>
      <c r="D33" s="7" t="s">
        <v>6</v>
      </c>
      <c r="E33" s="6">
        <v>0</v>
      </c>
      <c r="F33" s="6">
        <v>27.462467100000001</v>
      </c>
      <c r="G33" s="1"/>
      <c r="H33" s="8">
        <v>8019</v>
      </c>
      <c r="I33" s="8">
        <v>25</v>
      </c>
      <c r="J33" s="9">
        <v>622.30999999999995</v>
      </c>
      <c r="K33" s="8">
        <v>57.04</v>
      </c>
      <c r="L33" s="25">
        <f t="shared" si="0"/>
        <v>0</v>
      </c>
      <c r="M33" s="1"/>
      <c r="N33" s="10"/>
    </row>
    <row r="34" spans="1:14" ht="18" customHeight="1" x14ac:dyDescent="0.3">
      <c r="A34" s="11">
        <v>8020</v>
      </c>
      <c r="B34" s="11">
        <v>25</v>
      </c>
      <c r="C34" s="11">
        <v>742.24</v>
      </c>
      <c r="D34" s="7" t="s">
        <v>6</v>
      </c>
      <c r="E34" s="11">
        <v>0</v>
      </c>
      <c r="F34" s="11">
        <v>47.9480638</v>
      </c>
      <c r="G34" s="1"/>
      <c r="H34" s="13">
        <v>8020</v>
      </c>
      <c r="I34" s="13">
        <v>25</v>
      </c>
      <c r="J34" s="14">
        <v>742.24</v>
      </c>
      <c r="K34" s="13">
        <v>51.9</v>
      </c>
      <c r="L34" s="25">
        <f t="shared" si="0"/>
        <v>0</v>
      </c>
      <c r="M34" s="1"/>
      <c r="N34" s="10"/>
    </row>
    <row r="35" spans="1:14" ht="18" customHeight="1" x14ac:dyDescent="0.3">
      <c r="A35" s="6">
        <v>8021</v>
      </c>
      <c r="B35" s="6">
        <v>30</v>
      </c>
      <c r="C35" s="6">
        <v>1019.89</v>
      </c>
      <c r="D35" s="12" t="s">
        <v>7</v>
      </c>
      <c r="E35" s="6">
        <v>5.0505446665816782</v>
      </c>
      <c r="F35" s="6">
        <v>7201.1459894</v>
      </c>
      <c r="G35" s="1"/>
      <c r="H35" s="8">
        <v>8021</v>
      </c>
      <c r="I35" s="8">
        <v>30</v>
      </c>
      <c r="J35" s="9">
        <v>1039.02</v>
      </c>
      <c r="K35" s="8">
        <v>67.67</v>
      </c>
      <c r="L35" s="25">
        <f t="shared" ref="L35:L66" si="1">IF(C35=0,"",(J35-C35)/C35)</f>
        <v>1.8756924766396371E-2</v>
      </c>
      <c r="M35" s="1"/>
      <c r="N35" s="10"/>
    </row>
    <row r="36" spans="1:14" ht="18" customHeight="1" x14ac:dyDescent="0.3">
      <c r="A36" s="11">
        <v>8022</v>
      </c>
      <c r="B36" s="11">
        <v>30</v>
      </c>
      <c r="C36" s="11">
        <v>815.59999999999991</v>
      </c>
      <c r="D36" s="12" t="s">
        <v>7</v>
      </c>
      <c r="E36" s="11">
        <v>5.0232957332025823</v>
      </c>
      <c r="F36" s="11">
        <v>7201.3189292999996</v>
      </c>
      <c r="G36" s="1"/>
      <c r="H36" s="13">
        <v>8022</v>
      </c>
      <c r="I36" s="13">
        <v>30</v>
      </c>
      <c r="J36" s="14">
        <v>831.57</v>
      </c>
      <c r="K36" s="13">
        <v>73.400000000000006</v>
      </c>
      <c r="L36" s="25">
        <f t="shared" si="1"/>
        <v>1.9580676802354272E-2</v>
      </c>
      <c r="M36" s="1"/>
      <c r="N36" s="10"/>
    </row>
    <row r="37" spans="1:14" ht="18" customHeight="1" x14ac:dyDescent="0.3">
      <c r="A37" s="6">
        <v>8023</v>
      </c>
      <c r="B37" s="6">
        <v>30</v>
      </c>
      <c r="C37" s="6">
        <v>696.09999999999991</v>
      </c>
      <c r="D37" s="7" t="s">
        <v>6</v>
      </c>
      <c r="E37" s="6">
        <v>0</v>
      </c>
      <c r="F37" s="6">
        <v>1020.1182503</v>
      </c>
      <c r="G37" s="1"/>
      <c r="H37" s="8">
        <v>8023</v>
      </c>
      <c r="I37" s="8">
        <v>30</v>
      </c>
      <c r="J37" s="9">
        <v>713.65</v>
      </c>
      <c r="K37" s="8">
        <v>77.37</v>
      </c>
      <c r="L37" s="25">
        <f t="shared" si="1"/>
        <v>2.5211894842695117E-2</v>
      </c>
      <c r="M37" s="1"/>
      <c r="N37" s="10"/>
    </row>
    <row r="38" spans="1:14" ht="18" customHeight="1" x14ac:dyDescent="0.3">
      <c r="A38" s="11">
        <v>8024</v>
      </c>
      <c r="B38" s="11">
        <v>30</v>
      </c>
      <c r="C38" s="11">
        <v>659.83</v>
      </c>
      <c r="D38" s="7" t="s">
        <v>6</v>
      </c>
      <c r="E38" s="11">
        <v>0</v>
      </c>
      <c r="F38" s="11">
        <v>146.1031452</v>
      </c>
      <c r="G38" s="1"/>
      <c r="H38" s="13">
        <v>8024</v>
      </c>
      <c r="I38" s="13">
        <v>30</v>
      </c>
      <c r="J38" s="14">
        <v>667.58</v>
      </c>
      <c r="K38" s="13">
        <v>81.37</v>
      </c>
      <c r="L38" s="25">
        <f t="shared" si="1"/>
        <v>1.1745449585499295E-2</v>
      </c>
      <c r="M38" s="1"/>
      <c r="N38" s="10"/>
    </row>
    <row r="39" spans="1:14" ht="18" customHeight="1" x14ac:dyDescent="0.3">
      <c r="A39" s="6">
        <v>8025</v>
      </c>
      <c r="B39" s="6">
        <v>30</v>
      </c>
      <c r="C39" s="6">
        <v>890.66</v>
      </c>
      <c r="D39" s="12" t="s">
        <v>7</v>
      </c>
      <c r="E39" s="6">
        <v>3.8847596164641982</v>
      </c>
      <c r="F39" s="6">
        <v>7201.2844451000001</v>
      </c>
      <c r="G39" s="1"/>
      <c r="H39" s="8">
        <v>8025</v>
      </c>
      <c r="I39" s="8">
        <v>30</v>
      </c>
      <c r="J39" s="9">
        <v>891.84</v>
      </c>
      <c r="K39" s="8">
        <v>69.48</v>
      </c>
      <c r="L39" s="25">
        <f t="shared" si="1"/>
        <v>1.3248602160196524E-3</v>
      </c>
      <c r="M39" s="1"/>
      <c r="N39" s="10"/>
    </row>
    <row r="40" spans="1:14" ht="18" customHeight="1" x14ac:dyDescent="0.3">
      <c r="A40" s="11">
        <v>8026</v>
      </c>
      <c r="B40" s="11">
        <v>10</v>
      </c>
      <c r="C40" s="11">
        <v>696.53</v>
      </c>
      <c r="D40" s="7" t="s">
        <v>6</v>
      </c>
      <c r="E40" s="11">
        <v>0</v>
      </c>
      <c r="F40" s="11">
        <v>2.5934184</v>
      </c>
      <c r="G40" s="1"/>
      <c r="H40" s="13">
        <v>8026</v>
      </c>
      <c r="I40" s="13">
        <v>10</v>
      </c>
      <c r="J40" s="14">
        <v>696.53</v>
      </c>
      <c r="K40" s="13">
        <v>10.029999999999999</v>
      </c>
      <c r="L40" s="25">
        <f t="shared" si="1"/>
        <v>0</v>
      </c>
      <c r="M40" s="1"/>
      <c r="N40" s="10"/>
    </row>
    <row r="41" spans="1:14" ht="18" customHeight="1" x14ac:dyDescent="0.3">
      <c r="A41" s="6">
        <v>8027</v>
      </c>
      <c r="B41" s="6">
        <v>10</v>
      </c>
      <c r="C41" s="6">
        <v>575.06999999999994</v>
      </c>
      <c r="D41" s="7" t="s">
        <v>6</v>
      </c>
      <c r="E41" s="6">
        <v>0</v>
      </c>
      <c r="F41" s="6">
        <v>1.4266943000000001</v>
      </c>
      <c r="G41" s="1"/>
      <c r="H41" s="8">
        <v>8027</v>
      </c>
      <c r="I41" s="8">
        <v>10</v>
      </c>
      <c r="J41" s="9">
        <v>575.07000000000005</v>
      </c>
      <c r="K41" s="8">
        <v>12</v>
      </c>
      <c r="L41" s="25">
        <f t="shared" si="1"/>
        <v>1.976921726426627E-16</v>
      </c>
      <c r="M41" s="1"/>
      <c r="N41" s="10"/>
    </row>
    <row r="42" spans="1:14" ht="18" customHeight="1" x14ac:dyDescent="0.3">
      <c r="A42" s="11">
        <v>8028</v>
      </c>
      <c r="B42" s="11">
        <v>10</v>
      </c>
      <c r="C42" s="11">
        <v>463.01</v>
      </c>
      <c r="D42" s="7" t="s">
        <v>6</v>
      </c>
      <c r="E42" s="11">
        <v>0</v>
      </c>
      <c r="F42" s="11">
        <v>1.3735096</v>
      </c>
      <c r="G42" s="1"/>
      <c r="H42" s="13">
        <v>8028</v>
      </c>
      <c r="I42" s="13">
        <v>10</v>
      </c>
      <c r="J42" s="14">
        <v>463.01</v>
      </c>
      <c r="K42" s="13">
        <v>10.62</v>
      </c>
      <c r="L42" s="25">
        <f t="shared" si="1"/>
        <v>0</v>
      </c>
      <c r="M42" s="1"/>
      <c r="N42" s="10"/>
    </row>
    <row r="43" spans="1:14" ht="18" customHeight="1" x14ac:dyDescent="0.3">
      <c r="A43" s="6">
        <v>8029</v>
      </c>
      <c r="B43" s="6">
        <v>10</v>
      </c>
      <c r="C43" s="6">
        <v>522.51</v>
      </c>
      <c r="D43" s="7" t="s">
        <v>6</v>
      </c>
      <c r="E43" s="6">
        <v>0</v>
      </c>
      <c r="F43" s="6">
        <v>1.4469391</v>
      </c>
      <c r="G43" s="1"/>
      <c r="H43" s="8">
        <v>8029</v>
      </c>
      <c r="I43" s="8">
        <v>10</v>
      </c>
      <c r="J43" s="9">
        <v>522.51</v>
      </c>
      <c r="K43" s="8">
        <v>12.01</v>
      </c>
      <c r="L43" s="25">
        <f t="shared" si="1"/>
        <v>0</v>
      </c>
      <c r="M43" s="1"/>
      <c r="N43" s="10"/>
    </row>
    <row r="44" spans="1:14" ht="18" customHeight="1" x14ac:dyDescent="0.3">
      <c r="A44" s="11">
        <v>8030</v>
      </c>
      <c r="B44" s="11">
        <v>10</v>
      </c>
      <c r="C44" s="11">
        <v>473.33999999999992</v>
      </c>
      <c r="D44" s="7" t="s">
        <v>6</v>
      </c>
      <c r="E44" s="11">
        <v>0</v>
      </c>
      <c r="F44" s="11">
        <v>1.9898070999999999</v>
      </c>
      <c r="G44" s="1"/>
      <c r="H44" s="13">
        <v>8030</v>
      </c>
      <c r="I44" s="13">
        <v>10</v>
      </c>
      <c r="J44" s="14">
        <v>473.34</v>
      </c>
      <c r="K44" s="13">
        <v>12.77</v>
      </c>
      <c r="L44" s="25">
        <f t="shared" si="1"/>
        <v>1.2009003857862851E-16</v>
      </c>
      <c r="M44" s="1"/>
      <c r="N44" s="10"/>
    </row>
    <row r="45" spans="1:14" ht="18" customHeight="1" x14ac:dyDescent="0.3">
      <c r="A45" s="6">
        <v>8031</v>
      </c>
      <c r="B45" s="6">
        <v>15</v>
      </c>
      <c r="C45" s="6">
        <v>849.76</v>
      </c>
      <c r="D45" s="7" t="s">
        <v>6</v>
      </c>
      <c r="E45" s="6">
        <v>0</v>
      </c>
      <c r="F45" s="6">
        <v>10.170223699999999</v>
      </c>
      <c r="G45" s="1"/>
      <c r="H45" s="8">
        <v>8031</v>
      </c>
      <c r="I45" s="8">
        <v>15</v>
      </c>
      <c r="J45" s="9">
        <v>850.66</v>
      </c>
      <c r="K45" s="8">
        <v>17.71</v>
      </c>
      <c r="L45" s="25">
        <f t="shared" si="1"/>
        <v>1.0591225757860775E-3</v>
      </c>
      <c r="M45" s="1"/>
      <c r="N45" s="10"/>
    </row>
    <row r="46" spans="1:14" ht="18" customHeight="1" x14ac:dyDescent="0.3">
      <c r="A46" s="11">
        <v>8032</v>
      </c>
      <c r="B46" s="11">
        <v>15</v>
      </c>
      <c r="C46" s="11">
        <v>542.24</v>
      </c>
      <c r="D46" s="7" t="s">
        <v>6</v>
      </c>
      <c r="E46" s="11">
        <v>0</v>
      </c>
      <c r="F46" s="11">
        <v>3.4908229</v>
      </c>
      <c r="G46" s="1"/>
      <c r="H46" s="13">
        <v>8032</v>
      </c>
      <c r="I46" s="13">
        <v>15</v>
      </c>
      <c r="J46" s="14">
        <v>542.24</v>
      </c>
      <c r="K46" s="13">
        <v>20.49</v>
      </c>
      <c r="L46" s="25">
        <f t="shared" si="1"/>
        <v>0</v>
      </c>
      <c r="M46" s="1"/>
      <c r="N46" s="10"/>
    </row>
    <row r="47" spans="1:14" ht="18" customHeight="1" x14ac:dyDescent="0.3">
      <c r="A47" s="6">
        <v>8033</v>
      </c>
      <c r="B47" s="6">
        <v>15</v>
      </c>
      <c r="C47" s="6">
        <v>693.32999999999993</v>
      </c>
      <c r="D47" s="7" t="s">
        <v>6</v>
      </c>
      <c r="E47" s="6">
        <v>0</v>
      </c>
      <c r="F47" s="6">
        <v>49.973590600000001</v>
      </c>
      <c r="G47" s="1"/>
      <c r="H47" s="8">
        <v>8033</v>
      </c>
      <c r="I47" s="8">
        <v>15</v>
      </c>
      <c r="J47" s="9">
        <v>693.33</v>
      </c>
      <c r="K47" s="8">
        <v>19.46</v>
      </c>
      <c r="L47" s="25">
        <f t="shared" si="1"/>
        <v>1.6397218888785434E-16</v>
      </c>
      <c r="M47" s="1"/>
      <c r="N47" s="10"/>
    </row>
    <row r="48" spans="1:14" ht="18" customHeight="1" x14ac:dyDescent="0.3">
      <c r="A48" s="11">
        <v>8034</v>
      </c>
      <c r="B48" s="11">
        <v>15</v>
      </c>
      <c r="C48" s="11">
        <v>676.7</v>
      </c>
      <c r="D48" s="7" t="s">
        <v>6</v>
      </c>
      <c r="E48" s="11">
        <v>0</v>
      </c>
      <c r="F48" s="11">
        <v>5.4085296999999999</v>
      </c>
      <c r="G48" s="1"/>
      <c r="H48" s="13">
        <v>8034</v>
      </c>
      <c r="I48" s="13">
        <v>15</v>
      </c>
      <c r="J48" s="14">
        <v>676.7</v>
      </c>
      <c r="K48" s="13">
        <v>21.03</v>
      </c>
      <c r="L48" s="25">
        <f t="shared" si="1"/>
        <v>0</v>
      </c>
      <c r="M48" s="1"/>
      <c r="N48" s="10"/>
    </row>
    <row r="49" spans="1:14" ht="18" customHeight="1" x14ac:dyDescent="0.3">
      <c r="A49" s="6">
        <v>8035</v>
      </c>
      <c r="B49" s="6">
        <v>15</v>
      </c>
      <c r="C49" s="6">
        <v>619.56999999999994</v>
      </c>
      <c r="D49" s="7" t="s">
        <v>6</v>
      </c>
      <c r="E49" s="6">
        <v>0</v>
      </c>
      <c r="F49" s="6">
        <v>6.5678932999999997</v>
      </c>
      <c r="G49" s="1"/>
      <c r="H49" s="8">
        <v>8035</v>
      </c>
      <c r="I49" s="8">
        <v>15</v>
      </c>
      <c r="J49" s="9">
        <v>618.48</v>
      </c>
      <c r="K49" s="8">
        <v>21</v>
      </c>
      <c r="L49" s="25">
        <f t="shared" si="1"/>
        <v>-1.7592846651708737E-3</v>
      </c>
      <c r="M49" s="1"/>
      <c r="N49" s="10"/>
    </row>
    <row r="50" spans="1:14" ht="18" customHeight="1" x14ac:dyDescent="0.3">
      <c r="A50" s="11">
        <v>8036</v>
      </c>
      <c r="B50" s="11">
        <v>20</v>
      </c>
      <c r="C50" s="11">
        <v>1212.3800000000001</v>
      </c>
      <c r="D50" s="7" t="s">
        <v>6</v>
      </c>
      <c r="E50" s="11">
        <v>0</v>
      </c>
      <c r="F50" s="11">
        <v>948.32427889999997</v>
      </c>
      <c r="G50" s="1"/>
      <c r="H50" s="13">
        <v>8036</v>
      </c>
      <c r="I50" s="13">
        <v>20</v>
      </c>
      <c r="J50" s="14">
        <v>1213.3599999999999</v>
      </c>
      <c r="K50" s="13">
        <v>28.5</v>
      </c>
      <c r="L50" s="25">
        <f t="shared" si="1"/>
        <v>8.0832742209520998E-4</v>
      </c>
      <c r="M50" s="1"/>
      <c r="N50" s="10"/>
    </row>
    <row r="51" spans="1:14" ht="18" customHeight="1" x14ac:dyDescent="0.3">
      <c r="A51" s="6">
        <v>8037</v>
      </c>
      <c r="B51" s="6">
        <v>20</v>
      </c>
      <c r="C51" s="6">
        <v>587.22</v>
      </c>
      <c r="D51" s="7" t="s">
        <v>6</v>
      </c>
      <c r="E51" s="6">
        <v>0</v>
      </c>
      <c r="F51" s="6">
        <v>525.36895760000004</v>
      </c>
      <c r="G51" s="1"/>
      <c r="H51" s="8">
        <v>8037</v>
      </c>
      <c r="I51" s="8">
        <v>20</v>
      </c>
      <c r="J51" s="9">
        <v>589.17999999999995</v>
      </c>
      <c r="K51" s="8">
        <v>32.729999999999997</v>
      </c>
      <c r="L51" s="25">
        <f t="shared" si="1"/>
        <v>3.3377609754434837E-3</v>
      </c>
      <c r="M51" s="1"/>
      <c r="N51" s="10"/>
    </row>
    <row r="52" spans="1:14" ht="18" customHeight="1" x14ac:dyDescent="0.3">
      <c r="A52" s="11">
        <v>8038</v>
      </c>
      <c r="B52" s="11">
        <v>20</v>
      </c>
      <c r="C52" s="11">
        <v>886.7399999999999</v>
      </c>
      <c r="D52" s="7" t="s">
        <v>6</v>
      </c>
      <c r="E52" s="11">
        <v>0</v>
      </c>
      <c r="F52" s="11">
        <v>138.60738599999999</v>
      </c>
      <c r="G52" s="1"/>
      <c r="H52" s="13">
        <v>8038</v>
      </c>
      <c r="I52" s="13">
        <v>20</v>
      </c>
      <c r="J52" s="14">
        <v>889.86</v>
      </c>
      <c r="K52" s="13">
        <v>29</v>
      </c>
      <c r="L52" s="25">
        <f t="shared" si="1"/>
        <v>3.5185059882266714E-3</v>
      </c>
      <c r="M52" s="1"/>
      <c r="N52" s="10"/>
    </row>
    <row r="53" spans="1:14" ht="18" customHeight="1" x14ac:dyDescent="0.3">
      <c r="A53" s="6">
        <v>8039</v>
      </c>
      <c r="B53" s="6">
        <v>20</v>
      </c>
      <c r="C53" s="6">
        <v>755.6</v>
      </c>
      <c r="D53" s="7" t="s">
        <v>6</v>
      </c>
      <c r="E53" s="6">
        <v>0</v>
      </c>
      <c r="F53" s="6">
        <v>1676.4673997</v>
      </c>
      <c r="G53" s="1"/>
      <c r="H53" s="8">
        <v>8039</v>
      </c>
      <c r="I53" s="8">
        <v>20</v>
      </c>
      <c r="J53" s="9">
        <v>760.64</v>
      </c>
      <c r="K53" s="8">
        <v>30.48</v>
      </c>
      <c r="L53" s="25">
        <f t="shared" si="1"/>
        <v>6.6701958708310794E-3</v>
      </c>
      <c r="M53" s="1"/>
      <c r="N53" s="10"/>
    </row>
    <row r="54" spans="1:14" ht="18" customHeight="1" x14ac:dyDescent="0.3">
      <c r="A54" s="11">
        <v>8040</v>
      </c>
      <c r="B54" s="11">
        <v>20</v>
      </c>
      <c r="C54" s="11">
        <v>759.1</v>
      </c>
      <c r="D54" s="7" t="s">
        <v>6</v>
      </c>
      <c r="E54" s="11">
        <v>0</v>
      </c>
      <c r="F54" s="11">
        <v>904.29400629999998</v>
      </c>
      <c r="G54" s="1"/>
      <c r="H54" s="13">
        <v>8040</v>
      </c>
      <c r="I54" s="13">
        <v>20</v>
      </c>
      <c r="J54" s="14">
        <v>759.1</v>
      </c>
      <c r="K54" s="13">
        <v>31.08</v>
      </c>
      <c r="L54" s="25">
        <f t="shared" si="1"/>
        <v>0</v>
      </c>
      <c r="M54" s="1"/>
      <c r="N54" s="10"/>
    </row>
    <row r="55" spans="1:14" ht="18" customHeight="1" x14ac:dyDescent="0.3">
      <c r="A55" s="6">
        <v>8041</v>
      </c>
      <c r="B55" s="6">
        <v>25</v>
      </c>
      <c r="C55" s="6">
        <v>857.83</v>
      </c>
      <c r="D55" s="7" t="s">
        <v>6</v>
      </c>
      <c r="E55" s="6">
        <v>0</v>
      </c>
      <c r="F55" s="6">
        <v>689.9726627</v>
      </c>
      <c r="G55" s="1"/>
      <c r="H55" s="8">
        <v>8041</v>
      </c>
      <c r="I55" s="8">
        <v>25</v>
      </c>
      <c r="J55" s="9">
        <v>857.83</v>
      </c>
      <c r="K55" s="8">
        <v>46.89</v>
      </c>
      <c r="L55" s="25">
        <f t="shared" si="1"/>
        <v>0</v>
      </c>
      <c r="M55" s="1"/>
      <c r="N55" s="10"/>
    </row>
    <row r="56" spans="1:14" ht="18" customHeight="1" x14ac:dyDescent="0.3">
      <c r="A56" s="11">
        <v>8042</v>
      </c>
      <c r="B56" s="11">
        <v>25</v>
      </c>
      <c r="C56" s="11">
        <v>938.36</v>
      </c>
      <c r="D56" s="12" t="s">
        <v>7</v>
      </c>
      <c r="E56" s="11">
        <v>4.6271332278699377</v>
      </c>
      <c r="F56" s="11">
        <v>7200.7630085999999</v>
      </c>
      <c r="G56" s="1"/>
      <c r="H56" s="13">
        <v>8042</v>
      </c>
      <c r="I56" s="13">
        <v>25</v>
      </c>
      <c r="J56" s="14">
        <v>938.36</v>
      </c>
      <c r="K56" s="13">
        <v>47.85</v>
      </c>
      <c r="L56" s="25">
        <f t="shared" si="1"/>
        <v>0</v>
      </c>
      <c r="M56" s="1"/>
      <c r="N56" s="10"/>
    </row>
    <row r="57" spans="1:14" ht="18" customHeight="1" x14ac:dyDescent="0.3">
      <c r="A57" s="6">
        <v>8043</v>
      </c>
      <c r="B57" s="6">
        <v>25</v>
      </c>
      <c r="C57" s="6">
        <v>911.93000000000006</v>
      </c>
      <c r="D57" s="12" t="s">
        <v>7</v>
      </c>
      <c r="E57" s="6">
        <v>1.1557904663735361</v>
      </c>
      <c r="F57" s="6">
        <v>7200.9953131000002</v>
      </c>
      <c r="G57" s="1"/>
      <c r="H57" s="8">
        <v>8043</v>
      </c>
      <c r="I57" s="8">
        <v>25</v>
      </c>
      <c r="J57" s="9">
        <v>937.4</v>
      </c>
      <c r="K57" s="8">
        <v>46</v>
      </c>
      <c r="L57" s="25">
        <f t="shared" si="1"/>
        <v>2.792977531170146E-2</v>
      </c>
      <c r="M57" s="1"/>
      <c r="N57" s="10"/>
    </row>
    <row r="58" spans="1:14" ht="18" customHeight="1" x14ac:dyDescent="0.3">
      <c r="A58" s="11">
        <v>8044</v>
      </c>
      <c r="B58" s="11">
        <v>25</v>
      </c>
      <c r="C58" s="11">
        <v>908.40000000000009</v>
      </c>
      <c r="D58" s="7" t="s">
        <v>6</v>
      </c>
      <c r="E58" s="11">
        <v>0</v>
      </c>
      <c r="F58" s="11">
        <v>3639.0487873000002</v>
      </c>
      <c r="G58" s="1"/>
      <c r="H58" s="13">
        <v>8044</v>
      </c>
      <c r="I58" s="13">
        <v>25</v>
      </c>
      <c r="J58" s="14">
        <v>918.19</v>
      </c>
      <c r="K58" s="13">
        <v>43.81</v>
      </c>
      <c r="L58" s="25">
        <f t="shared" si="1"/>
        <v>1.0777190664905286E-2</v>
      </c>
      <c r="M58" s="1"/>
      <c r="N58" s="10"/>
    </row>
    <row r="59" spans="1:14" ht="18" customHeight="1" x14ac:dyDescent="0.3">
      <c r="A59" s="6">
        <v>8045</v>
      </c>
      <c r="B59" s="6">
        <v>25</v>
      </c>
      <c r="C59" s="6">
        <v>882.77</v>
      </c>
      <c r="D59" s="12" t="s">
        <v>7</v>
      </c>
      <c r="E59" s="6">
        <v>2.413992319630248</v>
      </c>
      <c r="F59" s="6">
        <v>7200.6117111000003</v>
      </c>
      <c r="G59" s="1"/>
      <c r="H59" s="8">
        <v>8045</v>
      </c>
      <c r="I59" s="8">
        <v>25</v>
      </c>
      <c r="J59" s="9">
        <v>901.29</v>
      </c>
      <c r="K59" s="8">
        <v>45.56</v>
      </c>
      <c r="L59" s="25">
        <f t="shared" si="1"/>
        <v>2.0979417062201914E-2</v>
      </c>
      <c r="M59" s="1"/>
      <c r="N59" s="10"/>
    </row>
    <row r="60" spans="1:14" ht="18" customHeight="1" x14ac:dyDescent="0.3">
      <c r="A60" s="11">
        <v>8046</v>
      </c>
      <c r="B60" s="11">
        <v>30</v>
      </c>
      <c r="C60" s="11">
        <v>1677.32</v>
      </c>
      <c r="D60" s="12" t="s">
        <v>7</v>
      </c>
      <c r="E60" s="11">
        <v>7.3468390050795316</v>
      </c>
      <c r="F60" s="11">
        <v>7201.0101510000004</v>
      </c>
      <c r="G60" s="1"/>
      <c r="H60" s="13">
        <v>8046</v>
      </c>
      <c r="I60" s="13">
        <v>30</v>
      </c>
      <c r="J60" s="14">
        <v>1732.55</v>
      </c>
      <c r="K60" s="13">
        <v>61.13</v>
      </c>
      <c r="L60" s="25">
        <f t="shared" si="1"/>
        <v>3.2927527245844572E-2</v>
      </c>
      <c r="M60" s="1"/>
      <c r="N60" s="10"/>
    </row>
    <row r="61" spans="1:14" ht="18" customHeight="1" x14ac:dyDescent="0.3">
      <c r="A61" s="6">
        <v>8047</v>
      </c>
      <c r="B61" s="6">
        <v>30</v>
      </c>
      <c r="C61" s="6">
        <v>935.34</v>
      </c>
      <c r="D61" s="12" t="s">
        <v>7</v>
      </c>
      <c r="E61" s="6">
        <v>10.2283661556226</v>
      </c>
      <c r="F61" s="6">
        <v>7201.3212462000001</v>
      </c>
      <c r="G61" s="1"/>
      <c r="H61" s="8">
        <v>8047</v>
      </c>
      <c r="I61" s="8">
        <v>30</v>
      </c>
      <c r="J61" s="9">
        <v>939.54</v>
      </c>
      <c r="K61" s="8">
        <v>63.55</v>
      </c>
      <c r="L61" s="25">
        <f t="shared" si="1"/>
        <v>4.4903457566231866E-3</v>
      </c>
      <c r="M61" s="1"/>
      <c r="N61" s="10"/>
    </row>
    <row r="62" spans="1:14" ht="18" customHeight="1" x14ac:dyDescent="0.3">
      <c r="A62" s="11">
        <v>8048</v>
      </c>
      <c r="B62" s="11">
        <v>30</v>
      </c>
      <c r="C62" s="11">
        <v>1150</v>
      </c>
      <c r="D62" s="12" t="s">
        <v>7</v>
      </c>
      <c r="E62" s="11">
        <v>11.40521739130434</v>
      </c>
      <c r="F62" s="11">
        <v>7202.5702436000001</v>
      </c>
      <c r="G62" s="1"/>
      <c r="H62" s="13">
        <v>8048</v>
      </c>
      <c r="I62" s="13">
        <v>30</v>
      </c>
      <c r="J62" s="14">
        <v>1155.02</v>
      </c>
      <c r="K62" s="13">
        <v>63.06</v>
      </c>
      <c r="L62" s="25">
        <f t="shared" si="1"/>
        <v>4.365217391304332E-3</v>
      </c>
      <c r="M62" s="1"/>
      <c r="N62" s="10"/>
    </row>
    <row r="63" spans="1:14" ht="18" customHeight="1" x14ac:dyDescent="0.3">
      <c r="A63" s="6">
        <v>8049</v>
      </c>
      <c r="B63" s="6">
        <v>30</v>
      </c>
      <c r="C63" s="6">
        <v>910.28</v>
      </c>
      <c r="D63" s="12" t="s">
        <v>7</v>
      </c>
      <c r="E63" s="6">
        <v>5.9124664938261686</v>
      </c>
      <c r="F63" s="6">
        <v>7202.2038474999999</v>
      </c>
      <c r="G63" s="1"/>
      <c r="H63" s="8">
        <v>8049</v>
      </c>
      <c r="I63" s="8">
        <v>30</v>
      </c>
      <c r="J63" s="9">
        <v>926.66</v>
      </c>
      <c r="K63" s="8">
        <v>64.849999999999994</v>
      </c>
      <c r="L63" s="25">
        <f t="shared" si="1"/>
        <v>1.7994463242079355E-2</v>
      </c>
      <c r="M63" s="1"/>
      <c r="N63" s="10"/>
    </row>
    <row r="64" spans="1:14" ht="18" customHeight="1" x14ac:dyDescent="0.3">
      <c r="A64" s="11">
        <v>8050</v>
      </c>
      <c r="B64" s="11">
        <v>30</v>
      </c>
      <c r="C64" s="11">
        <v>1002.2</v>
      </c>
      <c r="D64" s="12" t="s">
        <v>7</v>
      </c>
      <c r="E64" s="11">
        <v>6.8878467371782044</v>
      </c>
      <c r="F64" s="11">
        <v>7201.0475993999999</v>
      </c>
      <c r="G64" s="1"/>
      <c r="H64" s="13">
        <v>8050</v>
      </c>
      <c r="I64" s="13">
        <v>30</v>
      </c>
      <c r="J64" s="14">
        <v>1014.31</v>
      </c>
      <c r="K64" s="13">
        <v>65.150000000000006</v>
      </c>
      <c r="L64" s="25">
        <f t="shared" si="1"/>
        <v>1.2083416483735681E-2</v>
      </c>
      <c r="M64" s="1"/>
      <c r="N64" s="10"/>
    </row>
    <row r="65" spans="1:14" ht="18" customHeight="1" x14ac:dyDescent="0.3">
      <c r="A65" s="6">
        <v>8051</v>
      </c>
      <c r="B65" s="6">
        <v>10</v>
      </c>
      <c r="C65" s="6">
        <v>457.59</v>
      </c>
      <c r="D65" s="7" t="s">
        <v>6</v>
      </c>
      <c r="E65" s="6">
        <v>0</v>
      </c>
      <c r="F65" s="6">
        <v>8.4814250999999992</v>
      </c>
      <c r="G65" s="1"/>
      <c r="H65" s="8">
        <v>8051</v>
      </c>
      <c r="I65" s="8">
        <v>10</v>
      </c>
      <c r="J65" s="9">
        <v>457.59</v>
      </c>
      <c r="K65" s="8">
        <v>10.64</v>
      </c>
      <c r="L65" s="25">
        <f t="shared" si="1"/>
        <v>0</v>
      </c>
      <c r="M65" s="1"/>
      <c r="N65" s="10"/>
    </row>
    <row r="66" spans="1:14" ht="18" customHeight="1" x14ac:dyDescent="0.3">
      <c r="A66" s="11">
        <v>8052</v>
      </c>
      <c r="B66" s="11">
        <v>10</v>
      </c>
      <c r="C66" s="11">
        <v>460.01</v>
      </c>
      <c r="D66" s="7" t="s">
        <v>6</v>
      </c>
      <c r="E66" s="11">
        <v>0</v>
      </c>
      <c r="F66" s="11">
        <v>0.56487810000000005</v>
      </c>
      <c r="G66" s="1"/>
      <c r="H66" s="13">
        <v>8052</v>
      </c>
      <c r="I66" s="13">
        <v>10</v>
      </c>
      <c r="J66" s="14">
        <v>460.01</v>
      </c>
      <c r="K66" s="13">
        <v>12.05</v>
      </c>
      <c r="L66" s="25">
        <f t="shared" si="1"/>
        <v>0</v>
      </c>
      <c r="M66" s="1"/>
      <c r="N66" s="10"/>
    </row>
    <row r="67" spans="1:14" ht="18" customHeight="1" x14ac:dyDescent="0.3">
      <c r="A67" s="6">
        <v>8053</v>
      </c>
      <c r="B67" s="6">
        <v>10</v>
      </c>
      <c r="C67" s="6">
        <v>436.36</v>
      </c>
      <c r="D67" s="7" t="s">
        <v>6</v>
      </c>
      <c r="E67" s="6">
        <v>0</v>
      </c>
      <c r="F67" s="6">
        <v>0.78484149999999997</v>
      </c>
      <c r="G67" s="1"/>
      <c r="H67" s="8">
        <v>8053</v>
      </c>
      <c r="I67" s="8">
        <v>10</v>
      </c>
      <c r="J67" s="9">
        <v>436.36</v>
      </c>
      <c r="K67" s="8">
        <v>12.44</v>
      </c>
      <c r="L67" s="25">
        <f t="shared" ref="L67:L98" si="2">IF(C67=0,"",(J67-C67)/C67)</f>
        <v>0</v>
      </c>
      <c r="M67" s="1"/>
      <c r="N67" s="10"/>
    </row>
    <row r="68" spans="1:14" ht="18" customHeight="1" x14ac:dyDescent="0.3">
      <c r="A68" s="11">
        <v>8054</v>
      </c>
      <c r="B68" s="11">
        <v>10</v>
      </c>
      <c r="C68" s="11">
        <v>441.22</v>
      </c>
      <c r="D68" s="7" t="s">
        <v>6</v>
      </c>
      <c r="E68" s="11">
        <v>0</v>
      </c>
      <c r="F68" s="11">
        <v>0.36808669999999999</v>
      </c>
      <c r="G68" s="1"/>
      <c r="H68" s="13">
        <v>8054</v>
      </c>
      <c r="I68" s="13">
        <v>10</v>
      </c>
      <c r="J68" s="14">
        <v>441.22</v>
      </c>
      <c r="K68" s="13">
        <v>12.23</v>
      </c>
      <c r="L68" s="25">
        <f t="shared" si="2"/>
        <v>0</v>
      </c>
      <c r="M68" s="1"/>
      <c r="N68" s="10"/>
    </row>
    <row r="69" spans="1:14" ht="18" customHeight="1" x14ac:dyDescent="0.3">
      <c r="A69" s="6">
        <v>8055</v>
      </c>
      <c r="B69" s="6">
        <v>10</v>
      </c>
      <c r="C69" s="6">
        <v>373.39</v>
      </c>
      <c r="D69" s="7" t="s">
        <v>6</v>
      </c>
      <c r="E69" s="6">
        <v>0</v>
      </c>
      <c r="F69" s="6">
        <v>0.34207890000000002</v>
      </c>
      <c r="G69" s="1"/>
      <c r="H69" s="8">
        <v>8055</v>
      </c>
      <c r="I69" s="8">
        <v>10</v>
      </c>
      <c r="J69" s="9">
        <v>373.39</v>
      </c>
      <c r="K69" s="8">
        <v>10.63</v>
      </c>
      <c r="L69" s="25">
        <f t="shared" si="2"/>
        <v>0</v>
      </c>
      <c r="M69" s="1"/>
      <c r="N69" s="10"/>
    </row>
    <row r="70" spans="1:14" ht="18" customHeight="1" x14ac:dyDescent="0.3">
      <c r="A70" s="11">
        <v>8056</v>
      </c>
      <c r="B70" s="11">
        <v>15</v>
      </c>
      <c r="C70" s="11">
        <v>591.80000000000007</v>
      </c>
      <c r="D70" s="7" t="s">
        <v>6</v>
      </c>
      <c r="E70" s="11">
        <v>0</v>
      </c>
      <c r="F70" s="11">
        <v>32.755079899999998</v>
      </c>
      <c r="G70" s="1"/>
      <c r="H70" s="13">
        <v>8056</v>
      </c>
      <c r="I70" s="13">
        <v>15</v>
      </c>
      <c r="J70" s="14">
        <v>593.03</v>
      </c>
      <c r="K70" s="13">
        <v>18.510000000000002</v>
      </c>
      <c r="L70" s="25">
        <f t="shared" si="2"/>
        <v>2.0784048665087942E-3</v>
      </c>
      <c r="M70" s="1"/>
      <c r="N70" s="10"/>
    </row>
    <row r="71" spans="1:14" ht="18" customHeight="1" x14ac:dyDescent="0.3">
      <c r="A71" s="6">
        <v>8057</v>
      </c>
      <c r="B71" s="6">
        <v>15</v>
      </c>
      <c r="C71" s="6">
        <v>440.66</v>
      </c>
      <c r="D71" s="7" t="s">
        <v>6</v>
      </c>
      <c r="E71" s="6">
        <v>0</v>
      </c>
      <c r="F71" s="6">
        <v>6.1087544999999999</v>
      </c>
      <c r="G71" s="1"/>
      <c r="H71" s="8">
        <v>8057</v>
      </c>
      <c r="I71" s="8">
        <v>15</v>
      </c>
      <c r="J71" s="9">
        <v>440.66</v>
      </c>
      <c r="K71" s="8">
        <v>21.91</v>
      </c>
      <c r="L71" s="25">
        <f t="shared" si="2"/>
        <v>0</v>
      </c>
      <c r="M71" s="1"/>
      <c r="N71" s="10"/>
    </row>
    <row r="72" spans="1:14" ht="18" customHeight="1" x14ac:dyDescent="0.3">
      <c r="A72" s="11">
        <v>8058</v>
      </c>
      <c r="B72" s="11">
        <v>15</v>
      </c>
      <c r="C72" s="11">
        <v>437.12</v>
      </c>
      <c r="D72" s="7" t="s">
        <v>6</v>
      </c>
      <c r="E72" s="11">
        <v>0</v>
      </c>
      <c r="F72" s="11">
        <v>4.1468062999999997</v>
      </c>
      <c r="G72" s="1"/>
      <c r="H72" s="13">
        <v>8058</v>
      </c>
      <c r="I72" s="13">
        <v>15</v>
      </c>
      <c r="J72" s="14">
        <v>437.12</v>
      </c>
      <c r="K72" s="13">
        <v>21.99</v>
      </c>
      <c r="L72" s="25">
        <f t="shared" si="2"/>
        <v>0</v>
      </c>
      <c r="M72" s="1"/>
      <c r="N72" s="10"/>
    </row>
    <row r="73" spans="1:14" ht="18" customHeight="1" x14ac:dyDescent="0.3">
      <c r="A73" s="6">
        <v>8059</v>
      </c>
      <c r="B73" s="6">
        <v>15</v>
      </c>
      <c r="C73" s="6">
        <v>400.43000000000012</v>
      </c>
      <c r="D73" s="7" t="s">
        <v>6</v>
      </c>
      <c r="E73" s="6">
        <v>0</v>
      </c>
      <c r="F73" s="6">
        <v>2.9860289999999998</v>
      </c>
      <c r="G73" s="1"/>
      <c r="H73" s="8">
        <v>8059</v>
      </c>
      <c r="I73" s="8">
        <v>15</v>
      </c>
      <c r="J73" s="9">
        <v>400.43</v>
      </c>
      <c r="K73" s="8">
        <v>22.16</v>
      </c>
      <c r="L73" s="25">
        <f t="shared" si="2"/>
        <v>-2.8391188902333988E-16</v>
      </c>
      <c r="M73" s="1"/>
      <c r="N73" s="10"/>
    </row>
    <row r="74" spans="1:14" ht="18" customHeight="1" x14ac:dyDescent="0.3">
      <c r="A74" s="11">
        <v>8060</v>
      </c>
      <c r="B74" s="11">
        <v>15</v>
      </c>
      <c r="C74" s="11">
        <v>416.77</v>
      </c>
      <c r="D74" s="7" t="s">
        <v>6</v>
      </c>
      <c r="E74" s="11">
        <v>0</v>
      </c>
      <c r="F74" s="11">
        <v>4.5746826</v>
      </c>
      <c r="G74" s="1"/>
      <c r="H74" s="13">
        <v>8060</v>
      </c>
      <c r="I74" s="13">
        <v>15</v>
      </c>
      <c r="J74" s="14">
        <v>416.77</v>
      </c>
      <c r="K74" s="13">
        <v>23.03</v>
      </c>
      <c r="L74" s="25">
        <f t="shared" si="2"/>
        <v>0</v>
      </c>
      <c r="M74" s="1"/>
      <c r="N74" s="10"/>
    </row>
    <row r="75" spans="1:14" ht="18" customHeight="1" x14ac:dyDescent="0.3">
      <c r="A75" s="6">
        <v>8061</v>
      </c>
      <c r="B75" s="6">
        <v>20</v>
      </c>
      <c r="C75" s="6">
        <v>631.34</v>
      </c>
      <c r="D75" s="7" t="s">
        <v>6</v>
      </c>
      <c r="E75" s="6">
        <v>0</v>
      </c>
      <c r="F75" s="6">
        <v>340.28899330000002</v>
      </c>
      <c r="G75" s="1"/>
      <c r="H75" s="8">
        <v>8061</v>
      </c>
      <c r="I75" s="8">
        <v>20</v>
      </c>
      <c r="J75" s="9">
        <v>631.34</v>
      </c>
      <c r="K75" s="8">
        <v>30.53</v>
      </c>
      <c r="L75" s="25">
        <f t="shared" si="2"/>
        <v>0</v>
      </c>
      <c r="M75" s="1"/>
      <c r="N75" s="10"/>
    </row>
    <row r="76" spans="1:14" ht="18" customHeight="1" x14ac:dyDescent="0.3">
      <c r="A76" s="11">
        <v>8062</v>
      </c>
      <c r="B76" s="11">
        <v>20</v>
      </c>
      <c r="C76" s="11">
        <v>430.34</v>
      </c>
      <c r="D76" s="7" t="s">
        <v>6</v>
      </c>
      <c r="E76" s="11">
        <v>0</v>
      </c>
      <c r="F76" s="11">
        <v>30.309300700000001</v>
      </c>
      <c r="G76" s="1"/>
      <c r="H76" s="13">
        <v>8062</v>
      </c>
      <c r="I76" s="13">
        <v>20</v>
      </c>
      <c r="J76" s="14">
        <v>430.34</v>
      </c>
      <c r="K76" s="13">
        <v>33.82</v>
      </c>
      <c r="L76" s="25">
        <f t="shared" si="2"/>
        <v>0</v>
      </c>
      <c r="M76" s="1"/>
      <c r="N76" s="10"/>
    </row>
    <row r="77" spans="1:14" ht="18" customHeight="1" x14ac:dyDescent="0.3">
      <c r="A77" s="6">
        <v>8063</v>
      </c>
      <c r="B77" s="6">
        <v>20</v>
      </c>
      <c r="C77" s="6">
        <v>481.61</v>
      </c>
      <c r="D77" s="7" t="s">
        <v>6</v>
      </c>
      <c r="E77" s="6">
        <v>0</v>
      </c>
      <c r="F77" s="6">
        <v>20.528775100000001</v>
      </c>
      <c r="G77" s="1"/>
      <c r="H77" s="8">
        <v>8063</v>
      </c>
      <c r="I77" s="8">
        <v>20</v>
      </c>
      <c r="J77" s="9">
        <v>481.61</v>
      </c>
      <c r="K77" s="8">
        <v>35.22</v>
      </c>
      <c r="L77" s="25">
        <f t="shared" si="2"/>
        <v>0</v>
      </c>
      <c r="M77" s="1"/>
      <c r="N77" s="10"/>
    </row>
    <row r="78" spans="1:14" ht="18" customHeight="1" x14ac:dyDescent="0.3">
      <c r="A78" s="11">
        <v>8064</v>
      </c>
      <c r="B78" s="11">
        <v>20</v>
      </c>
      <c r="C78" s="11">
        <v>476.75000000000011</v>
      </c>
      <c r="D78" s="7" t="s">
        <v>6</v>
      </c>
      <c r="E78" s="11">
        <v>0</v>
      </c>
      <c r="F78" s="11">
        <v>35.0691615</v>
      </c>
      <c r="G78" s="1"/>
      <c r="H78" s="13">
        <v>8064</v>
      </c>
      <c r="I78" s="13">
        <v>20</v>
      </c>
      <c r="J78" s="14">
        <v>476.75</v>
      </c>
      <c r="K78" s="13">
        <v>35.79</v>
      </c>
      <c r="L78" s="25">
        <f t="shared" si="2"/>
        <v>-2.384621661701437E-16</v>
      </c>
      <c r="M78" s="1"/>
      <c r="N78" s="10"/>
    </row>
    <row r="79" spans="1:14" ht="18" customHeight="1" x14ac:dyDescent="0.3">
      <c r="A79" s="6">
        <v>8065</v>
      </c>
      <c r="B79" s="6">
        <v>20</v>
      </c>
      <c r="C79" s="6">
        <v>447.29</v>
      </c>
      <c r="D79" s="7" t="s">
        <v>6</v>
      </c>
      <c r="E79" s="6">
        <v>0</v>
      </c>
      <c r="F79" s="6">
        <v>48.829407699999997</v>
      </c>
      <c r="G79" s="1"/>
      <c r="H79" s="8">
        <v>8065</v>
      </c>
      <c r="I79" s="8">
        <v>20</v>
      </c>
      <c r="J79" s="9">
        <v>447.29</v>
      </c>
      <c r="K79" s="8">
        <v>34.909999999999997</v>
      </c>
      <c r="L79" s="25">
        <f t="shared" si="2"/>
        <v>0</v>
      </c>
      <c r="M79" s="1"/>
      <c r="N79" s="10"/>
    </row>
    <row r="80" spans="1:14" ht="18" customHeight="1" x14ac:dyDescent="0.3">
      <c r="A80" s="11">
        <v>8066</v>
      </c>
      <c r="B80" s="11">
        <v>25</v>
      </c>
      <c r="C80" s="11">
        <v>842.93</v>
      </c>
      <c r="D80" s="12" t="s">
        <v>7</v>
      </c>
      <c r="E80" s="11">
        <v>9.2807231917239594</v>
      </c>
      <c r="F80" s="11">
        <v>7200.6016325999999</v>
      </c>
      <c r="G80" s="1"/>
      <c r="H80" s="13">
        <v>8066</v>
      </c>
      <c r="I80" s="13">
        <v>25</v>
      </c>
      <c r="J80" s="14">
        <v>847.27</v>
      </c>
      <c r="K80" s="13">
        <v>42.51</v>
      </c>
      <c r="L80" s="25">
        <f t="shared" si="2"/>
        <v>5.1487074846073011E-3</v>
      </c>
      <c r="M80" s="1"/>
      <c r="N80" s="10"/>
    </row>
    <row r="81" spans="1:14" ht="18" customHeight="1" x14ac:dyDescent="0.3">
      <c r="A81" s="6">
        <v>8067</v>
      </c>
      <c r="B81" s="6">
        <v>25</v>
      </c>
      <c r="C81" s="6">
        <v>616.58000000000004</v>
      </c>
      <c r="D81" s="12" t="s">
        <v>7</v>
      </c>
      <c r="E81" s="6">
        <v>12.327678484543609</v>
      </c>
      <c r="F81" s="6">
        <v>7200.6948260999998</v>
      </c>
      <c r="G81" s="1"/>
      <c r="H81" s="8">
        <v>8067</v>
      </c>
      <c r="I81" s="8">
        <v>25</v>
      </c>
      <c r="J81" s="9">
        <v>616.58000000000004</v>
      </c>
      <c r="K81" s="8">
        <v>48.3</v>
      </c>
      <c r="L81" s="25">
        <f t="shared" si="2"/>
        <v>0</v>
      </c>
      <c r="M81" s="1"/>
      <c r="N81" s="10"/>
    </row>
    <row r="82" spans="1:14" ht="18" customHeight="1" x14ac:dyDescent="0.3">
      <c r="A82" s="11">
        <v>8068</v>
      </c>
      <c r="B82" s="11">
        <v>25</v>
      </c>
      <c r="C82" s="11">
        <v>459.88</v>
      </c>
      <c r="D82" s="7" t="s">
        <v>6</v>
      </c>
      <c r="E82" s="11">
        <v>0</v>
      </c>
      <c r="F82" s="11">
        <v>410.1790747</v>
      </c>
      <c r="G82" s="1"/>
      <c r="H82" s="13">
        <v>8068</v>
      </c>
      <c r="I82" s="13">
        <v>25</v>
      </c>
      <c r="J82" s="14">
        <v>459.88</v>
      </c>
      <c r="K82" s="13">
        <v>53.86</v>
      </c>
      <c r="L82" s="25">
        <f t="shared" si="2"/>
        <v>0</v>
      </c>
      <c r="M82" s="1"/>
      <c r="N82" s="10"/>
    </row>
    <row r="83" spans="1:14" ht="18" customHeight="1" x14ac:dyDescent="0.3">
      <c r="A83" s="6">
        <v>8069</v>
      </c>
      <c r="B83" s="6">
        <v>25</v>
      </c>
      <c r="C83" s="6">
        <v>456.52</v>
      </c>
      <c r="D83" s="7" t="s">
        <v>6</v>
      </c>
      <c r="E83" s="6">
        <v>0</v>
      </c>
      <c r="F83" s="6">
        <v>1980.9723378000001</v>
      </c>
      <c r="G83" s="1"/>
      <c r="H83" s="8">
        <v>8069</v>
      </c>
      <c r="I83" s="8">
        <v>25</v>
      </c>
      <c r="J83" s="9">
        <v>456.52</v>
      </c>
      <c r="K83" s="8">
        <v>54.04</v>
      </c>
      <c r="L83" s="25">
        <f t="shared" si="2"/>
        <v>0</v>
      </c>
      <c r="M83" s="1"/>
      <c r="N83" s="10"/>
    </row>
    <row r="84" spans="1:14" ht="18" customHeight="1" x14ac:dyDescent="0.3">
      <c r="A84" s="11">
        <v>8070</v>
      </c>
      <c r="B84" s="11">
        <v>25</v>
      </c>
      <c r="C84" s="11">
        <v>471.07</v>
      </c>
      <c r="D84" s="7" t="s">
        <v>6</v>
      </c>
      <c r="E84" s="11">
        <v>0</v>
      </c>
      <c r="F84" s="11">
        <v>77.006046299999994</v>
      </c>
      <c r="G84" s="1"/>
      <c r="H84" s="13">
        <v>8070</v>
      </c>
      <c r="I84" s="13">
        <v>25</v>
      </c>
      <c r="J84" s="14">
        <v>471.07</v>
      </c>
      <c r="K84" s="13">
        <v>52.09</v>
      </c>
      <c r="L84" s="25">
        <f t="shared" si="2"/>
        <v>0</v>
      </c>
      <c r="M84" s="1"/>
      <c r="N84" s="10"/>
    </row>
    <row r="85" spans="1:14" ht="18" customHeight="1" x14ac:dyDescent="0.3">
      <c r="A85" s="6">
        <v>8071</v>
      </c>
      <c r="B85" s="6">
        <v>30</v>
      </c>
      <c r="C85" s="6">
        <v>879.92000000000007</v>
      </c>
      <c r="D85" s="12" t="s">
        <v>7</v>
      </c>
      <c r="E85" s="6">
        <v>8.7608655093796646</v>
      </c>
      <c r="F85" s="6">
        <v>7201.6033711999999</v>
      </c>
      <c r="G85" s="1"/>
      <c r="H85" s="8">
        <v>8071</v>
      </c>
      <c r="I85" s="8">
        <v>30</v>
      </c>
      <c r="J85" s="9">
        <v>890.5</v>
      </c>
      <c r="K85" s="8">
        <v>56.72</v>
      </c>
      <c r="L85" s="25">
        <f t="shared" si="2"/>
        <v>1.2023820347304216E-2</v>
      </c>
      <c r="M85" s="1"/>
      <c r="N85" s="10"/>
    </row>
    <row r="86" spans="1:14" ht="18" customHeight="1" x14ac:dyDescent="0.3">
      <c r="A86" s="11">
        <v>8072</v>
      </c>
      <c r="B86" s="11">
        <v>30</v>
      </c>
      <c r="C86" s="11">
        <v>612.5100000000001</v>
      </c>
      <c r="D86" s="12" t="s">
        <v>7</v>
      </c>
      <c r="E86" s="11">
        <v>7.867626650993591</v>
      </c>
      <c r="F86" s="11">
        <v>7201.3015604000002</v>
      </c>
      <c r="G86" s="1"/>
      <c r="H86" s="13">
        <v>8072</v>
      </c>
      <c r="I86" s="13">
        <v>30</v>
      </c>
      <c r="J86" s="14">
        <v>612.14</v>
      </c>
      <c r="K86" s="13">
        <v>69.88</v>
      </c>
      <c r="L86" s="25">
        <f t="shared" si="2"/>
        <v>-6.0407177025700507E-4</v>
      </c>
      <c r="M86" s="1"/>
      <c r="N86" s="10"/>
    </row>
    <row r="87" spans="1:14" ht="18" customHeight="1" x14ac:dyDescent="0.3">
      <c r="A87" s="6">
        <v>8073</v>
      </c>
      <c r="B87" s="6">
        <v>30</v>
      </c>
      <c r="C87" s="6">
        <v>575.39</v>
      </c>
      <c r="D87" s="12" t="s">
        <v>7</v>
      </c>
      <c r="E87" s="6">
        <v>13.425676497679699</v>
      </c>
      <c r="F87" s="6">
        <v>7202.3849990999997</v>
      </c>
      <c r="G87" s="1"/>
      <c r="H87" s="8">
        <v>8073</v>
      </c>
      <c r="I87" s="8">
        <v>30</v>
      </c>
      <c r="J87" s="9">
        <v>575.85</v>
      </c>
      <c r="K87" s="8">
        <v>70.52</v>
      </c>
      <c r="L87" s="25">
        <f t="shared" si="2"/>
        <v>7.9945775908520545E-4</v>
      </c>
      <c r="M87" s="1"/>
      <c r="N87" s="10"/>
    </row>
    <row r="88" spans="1:14" ht="18" customHeight="1" x14ac:dyDescent="0.3">
      <c r="A88" s="11">
        <v>8074</v>
      </c>
      <c r="B88" s="11">
        <v>30</v>
      </c>
      <c r="C88" s="11">
        <v>579.45000000000005</v>
      </c>
      <c r="D88" s="12" t="s">
        <v>7</v>
      </c>
      <c r="E88" s="11">
        <v>18.602122702562649</v>
      </c>
      <c r="F88" s="11">
        <v>7201.3508573999998</v>
      </c>
      <c r="G88" s="1"/>
      <c r="H88" s="13">
        <v>8074</v>
      </c>
      <c r="I88" s="13">
        <v>30</v>
      </c>
      <c r="J88" s="14">
        <v>579.45000000000005</v>
      </c>
      <c r="K88" s="13">
        <v>80.510000000000005</v>
      </c>
      <c r="L88" s="25">
        <f t="shared" si="2"/>
        <v>0</v>
      </c>
      <c r="M88" s="1"/>
      <c r="N88" s="10"/>
    </row>
    <row r="89" spans="1:14" ht="18" customHeight="1" x14ac:dyDescent="0.3">
      <c r="A89" s="6">
        <v>8075</v>
      </c>
      <c r="B89" s="6">
        <v>30</v>
      </c>
      <c r="C89" s="6">
        <v>577.48</v>
      </c>
      <c r="D89" s="12" t="s">
        <v>7</v>
      </c>
      <c r="E89" s="6">
        <v>8.5370921936691548</v>
      </c>
      <c r="F89" s="6">
        <v>7201.4091060000001</v>
      </c>
      <c r="G89" s="1"/>
      <c r="H89" s="8">
        <v>8075</v>
      </c>
      <c r="I89" s="8">
        <v>30</v>
      </c>
      <c r="J89" s="9">
        <v>586.29</v>
      </c>
      <c r="K89" s="8">
        <v>69.900000000000006</v>
      </c>
      <c r="L89" s="25">
        <f t="shared" si="2"/>
        <v>1.5255939599639719E-2</v>
      </c>
      <c r="M89" s="1"/>
      <c r="N89" s="10"/>
    </row>
    <row r="90" spans="1:14" ht="18" customHeight="1" x14ac:dyDescent="0.3">
      <c r="A90" s="11">
        <v>8076</v>
      </c>
      <c r="B90" s="11">
        <v>10</v>
      </c>
      <c r="C90" s="11">
        <v>492.36000000000013</v>
      </c>
      <c r="D90" s="7" t="s">
        <v>6</v>
      </c>
      <c r="E90" s="11">
        <v>0</v>
      </c>
      <c r="F90" s="11">
        <v>9.4763835000000007</v>
      </c>
      <c r="G90" s="1"/>
      <c r="H90" s="13">
        <v>8076</v>
      </c>
      <c r="I90" s="13">
        <v>10</v>
      </c>
      <c r="J90" s="14">
        <v>492.36</v>
      </c>
      <c r="K90" s="13">
        <v>10.43</v>
      </c>
      <c r="L90" s="25">
        <f t="shared" si="2"/>
        <v>-2.3090185579985376E-16</v>
      </c>
      <c r="M90" s="1"/>
      <c r="N90" s="10"/>
    </row>
    <row r="91" spans="1:14" ht="18" customHeight="1" x14ac:dyDescent="0.3">
      <c r="A91" s="6">
        <v>8077</v>
      </c>
      <c r="B91" s="6">
        <v>10</v>
      </c>
      <c r="C91" s="6">
        <v>373.09</v>
      </c>
      <c r="D91" s="7" t="s">
        <v>6</v>
      </c>
      <c r="E91" s="6">
        <v>0</v>
      </c>
      <c r="F91" s="6">
        <v>1.4285378</v>
      </c>
      <c r="G91" s="1"/>
      <c r="H91" s="8">
        <v>8077</v>
      </c>
      <c r="I91" s="8">
        <v>10</v>
      </c>
      <c r="J91" s="9">
        <v>373.09</v>
      </c>
      <c r="K91" s="8">
        <v>11.5</v>
      </c>
      <c r="L91" s="25">
        <f t="shared" si="2"/>
        <v>0</v>
      </c>
      <c r="M91" s="1"/>
      <c r="N91" s="10"/>
    </row>
    <row r="92" spans="1:14" ht="18" customHeight="1" x14ac:dyDescent="0.3">
      <c r="A92" s="11">
        <v>8078</v>
      </c>
      <c r="B92" s="11">
        <v>10</v>
      </c>
      <c r="C92" s="11">
        <v>400.5</v>
      </c>
      <c r="D92" s="7" t="s">
        <v>6</v>
      </c>
      <c r="E92" s="11">
        <v>0</v>
      </c>
      <c r="F92" s="11">
        <v>4.3345700000000003</v>
      </c>
      <c r="G92" s="1"/>
      <c r="H92" s="13">
        <v>8078</v>
      </c>
      <c r="I92" s="13">
        <v>10</v>
      </c>
      <c r="J92" s="14">
        <v>400.5</v>
      </c>
      <c r="K92" s="13">
        <v>11.35</v>
      </c>
      <c r="L92" s="25">
        <f t="shared" si="2"/>
        <v>0</v>
      </c>
      <c r="M92" s="1"/>
      <c r="N92" s="10"/>
    </row>
    <row r="93" spans="1:14" ht="18" customHeight="1" x14ac:dyDescent="0.3">
      <c r="A93" s="6">
        <v>8079</v>
      </c>
      <c r="B93" s="6">
        <v>10</v>
      </c>
      <c r="C93" s="6">
        <v>381.94999999999987</v>
      </c>
      <c r="D93" s="7" t="s">
        <v>6</v>
      </c>
      <c r="E93" s="6">
        <v>0</v>
      </c>
      <c r="F93" s="6">
        <v>4.8519933000000002</v>
      </c>
      <c r="G93" s="1"/>
      <c r="H93" s="8">
        <v>8079</v>
      </c>
      <c r="I93" s="8">
        <v>10</v>
      </c>
      <c r="J93" s="9">
        <v>381.95</v>
      </c>
      <c r="K93" s="8">
        <v>12.98</v>
      </c>
      <c r="L93" s="25">
        <f t="shared" si="2"/>
        <v>2.976484820568558E-16</v>
      </c>
      <c r="M93" s="1"/>
      <c r="N93" s="10"/>
    </row>
    <row r="94" spans="1:14" ht="18" customHeight="1" x14ac:dyDescent="0.3">
      <c r="A94" s="11">
        <v>8080</v>
      </c>
      <c r="B94" s="11">
        <v>10</v>
      </c>
      <c r="C94" s="11">
        <v>430.68</v>
      </c>
      <c r="D94" s="7" t="s">
        <v>6</v>
      </c>
      <c r="E94" s="11">
        <v>0</v>
      </c>
      <c r="F94" s="11">
        <v>8.1743895000000002</v>
      </c>
      <c r="G94" s="1"/>
      <c r="H94" s="13">
        <v>8080</v>
      </c>
      <c r="I94" s="13">
        <v>10</v>
      </c>
      <c r="J94" s="14">
        <v>430.68</v>
      </c>
      <c r="K94" s="13">
        <v>10.78</v>
      </c>
      <c r="L94" s="25">
        <f t="shared" si="2"/>
        <v>0</v>
      </c>
      <c r="M94" s="1"/>
      <c r="N94" s="10"/>
    </row>
    <row r="95" spans="1:14" ht="18" customHeight="1" x14ac:dyDescent="0.3">
      <c r="A95" s="6">
        <v>8081</v>
      </c>
      <c r="B95" s="6">
        <v>15</v>
      </c>
      <c r="C95" s="6">
        <v>876.21999999999991</v>
      </c>
      <c r="D95" s="7" t="s">
        <v>6</v>
      </c>
      <c r="E95" s="6">
        <v>0</v>
      </c>
      <c r="F95" s="6">
        <v>198.62576369999999</v>
      </c>
      <c r="G95" s="1"/>
      <c r="H95" s="8">
        <v>8081</v>
      </c>
      <c r="I95" s="8">
        <v>15</v>
      </c>
      <c r="J95" s="9">
        <v>865.5</v>
      </c>
      <c r="K95" s="8">
        <v>16.95</v>
      </c>
      <c r="L95" s="25">
        <f t="shared" si="2"/>
        <v>-1.2234370363607215E-2</v>
      </c>
      <c r="M95" s="1"/>
      <c r="N95" s="10"/>
    </row>
    <row r="96" spans="1:14" ht="18" customHeight="1" x14ac:dyDescent="0.3">
      <c r="A96" s="11">
        <v>8082</v>
      </c>
      <c r="B96" s="11">
        <v>15</v>
      </c>
      <c r="C96" s="11">
        <v>419.62</v>
      </c>
      <c r="D96" s="7" t="s">
        <v>6</v>
      </c>
      <c r="E96" s="11">
        <v>0</v>
      </c>
      <c r="F96" s="11">
        <v>9.3970825999999992</v>
      </c>
      <c r="G96" s="1"/>
      <c r="H96" s="13">
        <v>8082</v>
      </c>
      <c r="I96" s="13">
        <v>15</v>
      </c>
      <c r="J96" s="14">
        <v>419.62</v>
      </c>
      <c r="K96" s="13">
        <v>20.59</v>
      </c>
      <c r="L96" s="25">
        <f t="shared" si="2"/>
        <v>0</v>
      </c>
      <c r="M96" s="1"/>
      <c r="N96" s="10"/>
    </row>
    <row r="97" spans="1:14" ht="18" customHeight="1" x14ac:dyDescent="0.3">
      <c r="A97" s="6">
        <v>8083</v>
      </c>
      <c r="B97" s="6">
        <v>15</v>
      </c>
      <c r="C97" s="6">
        <v>612.31000000000006</v>
      </c>
      <c r="D97" s="7" t="s">
        <v>6</v>
      </c>
      <c r="E97" s="6">
        <v>0</v>
      </c>
      <c r="F97" s="6">
        <v>147.7073225</v>
      </c>
      <c r="G97" s="1"/>
      <c r="H97" s="8">
        <v>8083</v>
      </c>
      <c r="I97" s="8">
        <v>15</v>
      </c>
      <c r="J97" s="9">
        <v>612.30999999999995</v>
      </c>
      <c r="K97" s="8">
        <v>19.77</v>
      </c>
      <c r="L97" s="25">
        <f t="shared" si="2"/>
        <v>-1.8566875883395015E-16</v>
      </c>
      <c r="M97" s="1"/>
      <c r="N97" s="10"/>
    </row>
    <row r="98" spans="1:14" ht="18" customHeight="1" x14ac:dyDescent="0.3">
      <c r="A98" s="11">
        <v>8084</v>
      </c>
      <c r="B98" s="11">
        <v>15</v>
      </c>
      <c r="C98" s="11">
        <v>422.66</v>
      </c>
      <c r="D98" s="7" t="s">
        <v>6</v>
      </c>
      <c r="E98" s="11">
        <v>0</v>
      </c>
      <c r="F98" s="11">
        <v>22.925605600000001</v>
      </c>
      <c r="G98" s="1"/>
      <c r="H98" s="13">
        <v>8084</v>
      </c>
      <c r="I98" s="13">
        <v>15</v>
      </c>
      <c r="J98" s="14">
        <v>422.66</v>
      </c>
      <c r="K98" s="13">
        <v>21.8</v>
      </c>
      <c r="L98" s="25">
        <f t="shared" si="2"/>
        <v>0</v>
      </c>
      <c r="M98" s="1"/>
      <c r="N98" s="10"/>
    </row>
    <row r="99" spans="1:14" ht="18" customHeight="1" x14ac:dyDescent="0.3">
      <c r="A99" s="6">
        <v>8085</v>
      </c>
      <c r="B99" s="6">
        <v>15</v>
      </c>
      <c r="C99" s="6">
        <v>374.32</v>
      </c>
      <c r="D99" s="7" t="s">
        <v>6</v>
      </c>
      <c r="E99" s="6">
        <v>0</v>
      </c>
      <c r="F99" s="6">
        <v>4.5177253999999998</v>
      </c>
      <c r="G99" s="1"/>
      <c r="H99" s="8">
        <v>8085</v>
      </c>
      <c r="I99" s="8">
        <v>15</v>
      </c>
      <c r="J99" s="9">
        <v>374.32</v>
      </c>
      <c r="K99" s="8">
        <v>20.65</v>
      </c>
      <c r="L99" s="25">
        <f t="shared" ref="L99:L114" si="3">IF(C99=0,"",(J99-C99)/C99)</f>
        <v>0</v>
      </c>
      <c r="M99" s="1"/>
      <c r="N99" s="10"/>
    </row>
    <row r="100" spans="1:14" ht="18" customHeight="1" x14ac:dyDescent="0.3">
      <c r="A100" s="11">
        <v>8086</v>
      </c>
      <c r="B100" s="11">
        <v>20</v>
      </c>
      <c r="C100" s="11">
        <v>956.98</v>
      </c>
      <c r="D100" s="7" t="s">
        <v>6</v>
      </c>
      <c r="E100" s="11">
        <v>0</v>
      </c>
      <c r="F100" s="11">
        <v>481.9418867</v>
      </c>
      <c r="G100" s="1"/>
      <c r="H100" s="13">
        <v>8086</v>
      </c>
      <c r="I100" s="13">
        <v>20</v>
      </c>
      <c r="J100" s="14">
        <v>961.26</v>
      </c>
      <c r="K100" s="13">
        <v>25.32</v>
      </c>
      <c r="L100" s="25">
        <f t="shared" si="3"/>
        <v>4.4724027670379448E-3</v>
      </c>
      <c r="M100" s="1"/>
      <c r="N100" s="10"/>
    </row>
    <row r="101" spans="1:14" ht="18" customHeight="1" x14ac:dyDescent="0.3">
      <c r="A101" s="6">
        <v>8087</v>
      </c>
      <c r="B101" s="6">
        <v>20</v>
      </c>
      <c r="C101" s="6">
        <v>612.12000000000012</v>
      </c>
      <c r="D101" s="12" t="s">
        <v>7</v>
      </c>
      <c r="E101" s="6">
        <v>3.7737590511401491</v>
      </c>
      <c r="F101" s="6">
        <v>7200.4742617000002</v>
      </c>
      <c r="G101" s="1"/>
      <c r="H101" s="8">
        <v>8087</v>
      </c>
      <c r="I101" s="8">
        <v>20</v>
      </c>
      <c r="J101" s="9">
        <v>625.77</v>
      </c>
      <c r="K101" s="8">
        <v>31.23</v>
      </c>
      <c r="L101" s="25">
        <f t="shared" si="3"/>
        <v>2.2299549108017808E-2</v>
      </c>
      <c r="M101" s="1"/>
      <c r="N101" s="10"/>
    </row>
    <row r="102" spans="1:14" ht="18" customHeight="1" x14ac:dyDescent="0.3">
      <c r="A102" s="11">
        <v>8088</v>
      </c>
      <c r="B102" s="11">
        <v>20</v>
      </c>
      <c r="C102" s="11">
        <v>616.96</v>
      </c>
      <c r="D102" s="7" t="s">
        <v>6</v>
      </c>
      <c r="E102" s="11">
        <v>0</v>
      </c>
      <c r="F102" s="11">
        <v>6889.8970462999996</v>
      </c>
      <c r="G102" s="1"/>
      <c r="H102" s="13">
        <v>8088</v>
      </c>
      <c r="I102" s="13">
        <v>20</v>
      </c>
      <c r="J102" s="14">
        <v>617.92999999999995</v>
      </c>
      <c r="K102" s="13">
        <v>31.17</v>
      </c>
      <c r="L102" s="25">
        <f t="shared" si="3"/>
        <v>1.5722251037342996E-3</v>
      </c>
      <c r="M102" s="1"/>
      <c r="N102" s="10"/>
    </row>
    <row r="103" spans="1:14" ht="18" customHeight="1" x14ac:dyDescent="0.3">
      <c r="A103" s="6">
        <v>8089</v>
      </c>
      <c r="B103" s="6">
        <v>20</v>
      </c>
      <c r="C103" s="6">
        <v>591.78</v>
      </c>
      <c r="D103" s="7" t="s">
        <v>6</v>
      </c>
      <c r="E103" s="6">
        <v>0</v>
      </c>
      <c r="F103" s="6">
        <v>973.92481250000003</v>
      </c>
      <c r="G103" s="1"/>
      <c r="H103" s="8">
        <v>8089</v>
      </c>
      <c r="I103" s="8">
        <v>20</v>
      </c>
      <c r="J103" s="9">
        <v>591.78</v>
      </c>
      <c r="K103" s="8">
        <v>31.16</v>
      </c>
      <c r="L103" s="25">
        <f t="shared" si="3"/>
        <v>0</v>
      </c>
      <c r="M103" s="1"/>
      <c r="N103" s="10"/>
    </row>
    <row r="104" spans="1:14" ht="18" customHeight="1" x14ac:dyDescent="0.3">
      <c r="A104" s="11">
        <v>8090</v>
      </c>
      <c r="B104" s="11">
        <v>20</v>
      </c>
      <c r="C104" s="11">
        <v>512.84</v>
      </c>
      <c r="D104" s="12" t="s">
        <v>7</v>
      </c>
      <c r="E104" s="11">
        <v>10.400599194443281</v>
      </c>
      <c r="F104" s="11">
        <v>39532.931001299999</v>
      </c>
      <c r="G104" s="1"/>
      <c r="H104" s="13">
        <v>8090</v>
      </c>
      <c r="I104" s="13">
        <v>20</v>
      </c>
      <c r="J104" s="14">
        <v>513.29</v>
      </c>
      <c r="K104" s="13">
        <v>29.88</v>
      </c>
      <c r="L104" s="25">
        <f t="shared" si="3"/>
        <v>8.7746665626692874E-4</v>
      </c>
      <c r="M104" s="1"/>
      <c r="N104" s="10"/>
    </row>
    <row r="105" spans="1:14" ht="18" customHeight="1" x14ac:dyDescent="0.3">
      <c r="A105" s="6">
        <v>8091</v>
      </c>
      <c r="B105" s="6">
        <v>25</v>
      </c>
      <c r="C105" s="6">
        <v>1066.06</v>
      </c>
      <c r="D105" s="12" t="s">
        <v>7</v>
      </c>
      <c r="E105" s="6">
        <v>10.28928953342216</v>
      </c>
      <c r="F105" s="6">
        <v>7207.2983197000003</v>
      </c>
      <c r="G105" s="1"/>
      <c r="H105" s="8">
        <v>8091</v>
      </c>
      <c r="I105" s="8">
        <v>25</v>
      </c>
      <c r="J105" s="9">
        <v>1085.31</v>
      </c>
      <c r="K105" s="8">
        <v>39.520000000000003</v>
      </c>
      <c r="L105" s="25">
        <f t="shared" si="3"/>
        <v>1.8057145001219445E-2</v>
      </c>
      <c r="M105" s="1"/>
      <c r="N105" s="10"/>
    </row>
    <row r="106" spans="1:14" ht="18" customHeight="1" x14ac:dyDescent="0.3">
      <c r="A106" s="11">
        <v>8092</v>
      </c>
      <c r="B106" s="11">
        <v>25</v>
      </c>
      <c r="C106" s="11">
        <v>722.70999999999981</v>
      </c>
      <c r="D106" s="12" t="s">
        <v>7</v>
      </c>
      <c r="E106" s="11">
        <v>7.9022014362606026</v>
      </c>
      <c r="F106" s="11">
        <v>7202.5252511999997</v>
      </c>
      <c r="G106" s="1"/>
      <c r="H106" s="13">
        <v>8092</v>
      </c>
      <c r="I106" s="13">
        <v>25</v>
      </c>
      <c r="J106" s="14">
        <v>729.16</v>
      </c>
      <c r="K106" s="13">
        <v>44.98</v>
      </c>
      <c r="L106" s="25">
        <f t="shared" si="3"/>
        <v>8.9247415975981532E-3</v>
      </c>
      <c r="M106" s="1"/>
      <c r="N106" s="10"/>
    </row>
    <row r="107" spans="1:14" ht="18" customHeight="1" x14ac:dyDescent="0.3">
      <c r="A107" s="6">
        <v>8093</v>
      </c>
      <c r="B107" s="6">
        <v>25</v>
      </c>
      <c r="C107" s="6">
        <v>853.4</v>
      </c>
      <c r="D107" s="12" t="s">
        <v>7</v>
      </c>
      <c r="E107" s="6">
        <v>11.62409186782274</v>
      </c>
      <c r="F107" s="6">
        <v>7203.2891976000001</v>
      </c>
      <c r="G107" s="1"/>
      <c r="H107" s="8">
        <v>8093</v>
      </c>
      <c r="I107" s="8">
        <v>25</v>
      </c>
      <c r="J107" s="9">
        <v>849.9</v>
      </c>
      <c r="K107" s="8">
        <v>43.1</v>
      </c>
      <c r="L107" s="25">
        <f t="shared" si="3"/>
        <v>-4.101242090461683E-3</v>
      </c>
      <c r="M107" s="1"/>
      <c r="N107" s="10"/>
    </row>
    <row r="108" spans="1:14" ht="18" customHeight="1" x14ac:dyDescent="0.3">
      <c r="A108" s="11">
        <v>8094</v>
      </c>
      <c r="B108" s="11">
        <v>25</v>
      </c>
      <c r="C108" s="11">
        <v>820.54</v>
      </c>
      <c r="D108" s="12" t="s">
        <v>7</v>
      </c>
      <c r="E108" s="11">
        <v>15.598264557486511</v>
      </c>
      <c r="F108" s="11">
        <v>7200.7594504999997</v>
      </c>
      <c r="G108" s="1"/>
      <c r="H108" s="13">
        <v>8094</v>
      </c>
      <c r="I108" s="13">
        <v>25</v>
      </c>
      <c r="J108" s="14">
        <v>822.4</v>
      </c>
      <c r="K108" s="13">
        <v>47.5</v>
      </c>
      <c r="L108" s="25">
        <f t="shared" si="3"/>
        <v>2.2667999122529233E-3</v>
      </c>
      <c r="M108" s="1"/>
      <c r="N108" s="10"/>
    </row>
    <row r="109" spans="1:14" ht="18" customHeight="1" x14ac:dyDescent="0.3">
      <c r="A109" s="6">
        <v>8095</v>
      </c>
      <c r="B109" s="6">
        <v>25</v>
      </c>
      <c r="C109" s="6">
        <v>715.22</v>
      </c>
      <c r="D109" s="12" t="s">
        <v>7</v>
      </c>
      <c r="E109" s="6">
        <v>10.083340933470071</v>
      </c>
      <c r="F109" s="6">
        <v>7201.8660694</v>
      </c>
      <c r="G109" s="1"/>
      <c r="H109" s="8">
        <v>8095</v>
      </c>
      <c r="I109" s="8">
        <v>25</v>
      </c>
      <c r="J109" s="9">
        <v>715.22</v>
      </c>
      <c r="K109" s="8">
        <v>49.91</v>
      </c>
      <c r="L109" s="25">
        <f t="shared" si="3"/>
        <v>0</v>
      </c>
      <c r="M109" s="1"/>
      <c r="N109" s="10"/>
    </row>
    <row r="110" spans="1:14" ht="18" customHeight="1" x14ac:dyDescent="0.3">
      <c r="A110" s="11">
        <v>8096</v>
      </c>
      <c r="B110" s="11">
        <v>30</v>
      </c>
      <c r="C110" s="11">
        <v>1414.46</v>
      </c>
      <c r="D110" s="12" t="s">
        <v>7</v>
      </c>
      <c r="E110" s="11">
        <v>10.6754521160018</v>
      </c>
      <c r="F110" s="11">
        <v>7208.4182896000002</v>
      </c>
      <c r="G110" s="1"/>
      <c r="H110" s="13">
        <v>8096</v>
      </c>
      <c r="I110" s="13">
        <v>30</v>
      </c>
      <c r="J110" s="14">
        <v>1425.63</v>
      </c>
      <c r="K110" s="13">
        <v>56.05</v>
      </c>
      <c r="L110" s="25">
        <f t="shared" si="3"/>
        <v>7.8970066315060677E-3</v>
      </c>
      <c r="M110" s="1"/>
      <c r="N110" s="10"/>
    </row>
    <row r="111" spans="1:14" ht="18" customHeight="1" x14ac:dyDescent="0.3">
      <c r="A111" s="6">
        <v>8097</v>
      </c>
      <c r="B111" s="6">
        <v>30</v>
      </c>
      <c r="C111" s="6">
        <v>713.99999999999989</v>
      </c>
      <c r="D111" s="12" t="s">
        <v>7</v>
      </c>
      <c r="E111" s="6">
        <v>8.6638655462184264</v>
      </c>
      <c r="F111" s="6">
        <v>7242.3881768000001</v>
      </c>
      <c r="G111" s="1"/>
      <c r="H111" s="8">
        <v>8097</v>
      </c>
      <c r="I111" s="8">
        <v>30</v>
      </c>
      <c r="J111" s="9">
        <v>743.67</v>
      </c>
      <c r="K111" s="8">
        <v>67.39</v>
      </c>
      <c r="L111" s="25">
        <f t="shared" si="3"/>
        <v>4.1554621848739606E-2</v>
      </c>
      <c r="M111" s="1"/>
      <c r="N111" s="10"/>
    </row>
    <row r="112" spans="1:14" ht="18" customHeight="1" x14ac:dyDescent="0.3">
      <c r="A112" s="11">
        <v>8098</v>
      </c>
      <c r="B112" s="11">
        <v>30</v>
      </c>
      <c r="C112" s="11">
        <v>1019.77</v>
      </c>
      <c r="D112" s="12" t="s">
        <v>7</v>
      </c>
      <c r="E112" s="11">
        <v>11.00836463124053</v>
      </c>
      <c r="F112" s="11">
        <v>7201.8967930999997</v>
      </c>
      <c r="G112" s="1"/>
      <c r="H112" s="13">
        <v>8098</v>
      </c>
      <c r="I112" s="13">
        <v>30</v>
      </c>
      <c r="J112" s="14">
        <v>1026.53</v>
      </c>
      <c r="K112" s="13">
        <v>62.17</v>
      </c>
      <c r="L112" s="25">
        <f t="shared" si="3"/>
        <v>6.6289457426674551E-3</v>
      </c>
      <c r="M112" s="1"/>
      <c r="N112" s="10"/>
    </row>
    <row r="113" spans="1:14" ht="18" customHeight="1" x14ac:dyDescent="0.3">
      <c r="A113" s="6">
        <v>8099</v>
      </c>
      <c r="B113" s="6">
        <v>30</v>
      </c>
      <c r="C113" s="6">
        <v>745</v>
      </c>
      <c r="D113" s="12" t="s">
        <v>7</v>
      </c>
      <c r="E113" s="6">
        <v>9.5395973154362039</v>
      </c>
      <c r="F113" s="6">
        <v>7201.6765736999996</v>
      </c>
      <c r="G113" s="1"/>
      <c r="H113" s="8">
        <v>8099</v>
      </c>
      <c r="I113" s="8">
        <v>30</v>
      </c>
      <c r="J113" s="9">
        <v>745.99</v>
      </c>
      <c r="K113" s="8">
        <v>66.290000000000006</v>
      </c>
      <c r="L113" s="25">
        <f t="shared" si="3"/>
        <v>1.3288590604026967E-3</v>
      </c>
      <c r="M113" s="1"/>
      <c r="N113" s="10"/>
    </row>
    <row r="114" spans="1:14" ht="15" x14ac:dyDescent="0.35">
      <c r="A114" s="19">
        <v>8100</v>
      </c>
      <c r="B114" s="19">
        <v>30</v>
      </c>
      <c r="C114" s="19">
        <v>933.8</v>
      </c>
      <c r="D114" s="20" t="s">
        <v>7</v>
      </c>
      <c r="E114" s="19">
        <v>15.23666738059547</v>
      </c>
      <c r="F114" s="19">
        <v>7201.4336358999999</v>
      </c>
      <c r="G114" s="23"/>
      <c r="H114" s="21">
        <v>8100</v>
      </c>
      <c r="I114" s="21">
        <v>30</v>
      </c>
      <c r="J114" s="22">
        <v>934.03</v>
      </c>
      <c r="K114" s="21">
        <v>64.27</v>
      </c>
      <c r="L114" s="26">
        <f t="shared" si="3"/>
        <v>2.4630541871923132E-4</v>
      </c>
      <c r="M114" s="23"/>
      <c r="N114" s="24"/>
    </row>
  </sheetData>
  <mergeCells count="5">
    <mergeCell ref="K2:L2"/>
    <mergeCell ref="A1:F1"/>
    <mergeCell ref="H1:K1"/>
    <mergeCell ref="P3:Q3"/>
    <mergeCell ref="P4:Q4"/>
  </mergeCells>
  <conditionalFormatting sqref="L3:L114">
    <cfRule type="expression" dxfId="12" priority="1">
      <formula>AND(L3&lt;&gt;"",L3&gt;=0)</formula>
    </cfRule>
    <cfRule type="expression" dxfId="11" priority="2">
      <formula>AND(L3&lt;&gt;"",L3&lt;0,D3="TIME_LIMIT")</formula>
    </cfRule>
    <cfRule type="expression" dxfId="10" priority="3">
      <formula>AND(L3&lt;&gt;"",L3&lt;0,D3="OPTIMAL")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114"/>
  <sheetViews>
    <sheetView workbookViewId="0">
      <selection activeCell="T8" sqref="T8"/>
    </sheetView>
  </sheetViews>
  <sheetFormatPr defaultRowHeight="14.4" x14ac:dyDescent="0.3"/>
  <cols>
    <col min="1" max="1" width="9.6640625" customWidth="1"/>
    <col min="2" max="2" width="16.6640625" customWidth="1"/>
    <col min="3" max="5" width="14.77734375" customWidth="1"/>
    <col min="6" max="6" width="15.77734375" customWidth="1"/>
    <col min="7" max="7" width="13.88671875" customWidth="1"/>
    <col min="8" max="8" width="3.33203125" customWidth="1"/>
    <col min="9" max="9" width="10.21875" customWidth="1"/>
    <col min="10" max="10" width="17.5546875" customWidth="1"/>
    <col min="11" max="12" width="16.33203125" customWidth="1"/>
    <col min="13" max="13" width="15.21875" customWidth="1"/>
    <col min="14" max="14" width="14.44140625" customWidth="1"/>
    <col min="15" max="15" width="3.33203125" customWidth="1"/>
    <col min="16" max="18" width="16.6640625" customWidth="1"/>
    <col min="19" max="19" width="3.33203125" customWidth="1"/>
    <col min="20" max="20" width="21.33203125" customWidth="1"/>
    <col min="21" max="21" width="14.77734375" customWidth="1"/>
  </cols>
  <sheetData>
    <row r="1" spans="1:21" ht="28.05" customHeight="1" x14ac:dyDescent="0.45">
      <c r="A1" s="52" t="s">
        <v>21</v>
      </c>
      <c r="B1" s="59"/>
      <c r="C1" s="59"/>
      <c r="D1" s="59"/>
      <c r="E1" s="59"/>
      <c r="F1" s="59"/>
      <c r="G1" s="60"/>
      <c r="H1" s="61" t="s">
        <v>22</v>
      </c>
      <c r="I1" s="62"/>
      <c r="J1" s="62"/>
      <c r="K1" s="62"/>
      <c r="L1" s="62"/>
      <c r="M1" s="62"/>
      <c r="N1" s="63"/>
      <c r="O1" s="64" t="s">
        <v>14</v>
      </c>
      <c r="P1" s="65"/>
      <c r="Q1" s="65"/>
      <c r="R1" s="65"/>
      <c r="S1" s="66" t="s">
        <v>10</v>
      </c>
      <c r="T1" s="67"/>
      <c r="U1" s="67"/>
    </row>
    <row r="2" spans="1:21" ht="36" customHeight="1" x14ac:dyDescent="0.3">
      <c r="A2" s="37" t="s">
        <v>0</v>
      </c>
      <c r="B2" s="37" t="s">
        <v>1</v>
      </c>
      <c r="C2" s="37" t="s">
        <v>15</v>
      </c>
      <c r="D2" s="37" t="s">
        <v>16</v>
      </c>
      <c r="E2" s="37" t="s">
        <v>17</v>
      </c>
      <c r="F2" s="37" t="s">
        <v>3</v>
      </c>
      <c r="G2" s="38" t="s">
        <v>5</v>
      </c>
      <c r="H2" s="1"/>
      <c r="I2" s="37" t="s">
        <v>0</v>
      </c>
      <c r="J2" s="37" t="s">
        <v>1</v>
      </c>
      <c r="K2" s="37" t="s">
        <v>15</v>
      </c>
      <c r="L2" s="37" t="s">
        <v>16</v>
      </c>
      <c r="M2" s="37" t="s">
        <v>17</v>
      </c>
      <c r="N2" s="38" t="s">
        <v>5</v>
      </c>
      <c r="O2" s="1"/>
      <c r="P2" s="39" t="s">
        <v>18</v>
      </c>
      <c r="Q2" s="37" t="s">
        <v>19</v>
      </c>
      <c r="R2" s="37" t="s">
        <v>20</v>
      </c>
      <c r="S2" s="1"/>
      <c r="T2" s="3" t="s">
        <v>18</v>
      </c>
      <c r="U2" s="40">
        <f>AVERAGE(P3:P114)</f>
        <v>1.5154275160526715E-3</v>
      </c>
    </row>
    <row r="3" spans="1:21" ht="20.399999999999999" x14ac:dyDescent="0.45">
      <c r="A3" s="28">
        <v>1</v>
      </c>
      <c r="B3" s="28">
        <v>23</v>
      </c>
      <c r="C3" s="29">
        <v>171.38</v>
      </c>
      <c r="D3" s="29">
        <v>170.51</v>
      </c>
      <c r="E3" s="29">
        <v>341.89</v>
      </c>
      <c r="F3" s="32" t="s">
        <v>6</v>
      </c>
      <c r="G3" s="33">
        <v>138.62803919999999</v>
      </c>
      <c r="H3" s="1"/>
      <c r="I3" s="28">
        <v>1</v>
      </c>
      <c r="J3" s="28">
        <v>23</v>
      </c>
      <c r="K3" s="29">
        <v>171.38</v>
      </c>
      <c r="L3" s="29">
        <v>170.51</v>
      </c>
      <c r="M3" s="29">
        <v>341.89</v>
      </c>
      <c r="N3" s="33">
        <v>38.21</v>
      </c>
      <c r="O3" s="1"/>
      <c r="P3" s="35">
        <v>0</v>
      </c>
      <c r="Q3" s="31">
        <v>0</v>
      </c>
      <c r="R3" s="31">
        <v>0</v>
      </c>
      <c r="S3" s="1"/>
      <c r="T3" s="27" t="s">
        <v>19</v>
      </c>
      <c r="U3" s="36">
        <f>AVERAGE(Q3:Q114)</f>
        <v>2.5375215275706777E-3</v>
      </c>
    </row>
    <row r="4" spans="1:21" ht="20.399999999999999" x14ac:dyDescent="0.45">
      <c r="A4" s="19">
        <v>2</v>
      </c>
      <c r="B4" s="19">
        <v>29</v>
      </c>
      <c r="C4" s="30">
        <v>175.55</v>
      </c>
      <c r="D4" s="30">
        <v>184.39</v>
      </c>
      <c r="E4" s="30">
        <v>359.94</v>
      </c>
      <c r="F4" s="32" t="s">
        <v>6</v>
      </c>
      <c r="G4" s="34">
        <v>2711.5672583999999</v>
      </c>
      <c r="H4" s="1"/>
      <c r="I4" s="19">
        <v>2</v>
      </c>
      <c r="J4" s="19">
        <v>29</v>
      </c>
      <c r="K4" s="30">
        <v>176.06</v>
      </c>
      <c r="L4" s="30">
        <v>192.83</v>
      </c>
      <c r="M4" s="30">
        <v>368.89</v>
      </c>
      <c r="N4" s="34">
        <v>54.51</v>
      </c>
      <c r="O4" s="1"/>
      <c r="P4" s="35">
        <v>2.4865255320331136E-2</v>
      </c>
      <c r="Q4" s="31">
        <v>2.9051552264311642E-3</v>
      </c>
      <c r="R4" s="31">
        <v>4.5772547318184427E-2</v>
      </c>
      <c r="S4" s="1"/>
      <c r="T4" s="27" t="s">
        <v>20</v>
      </c>
      <c r="U4" s="36">
        <f>AVERAGE(R3:R114)</f>
        <v>9.2823472566405695E-4</v>
      </c>
    </row>
    <row r="5" spans="1:21" ht="15" x14ac:dyDescent="0.35">
      <c r="A5" s="28">
        <v>3</v>
      </c>
      <c r="B5" s="28">
        <v>20</v>
      </c>
      <c r="C5" s="29">
        <v>159.65</v>
      </c>
      <c r="D5" s="29">
        <v>113.45</v>
      </c>
      <c r="E5" s="29">
        <v>273.10000000000002</v>
      </c>
      <c r="F5" s="32" t="s">
        <v>6</v>
      </c>
      <c r="G5" s="33">
        <v>149.10212150000001</v>
      </c>
      <c r="H5" s="1"/>
      <c r="I5" s="28">
        <v>3</v>
      </c>
      <c r="J5" s="28">
        <v>20</v>
      </c>
      <c r="K5" s="29">
        <v>159.65</v>
      </c>
      <c r="L5" s="29">
        <v>113.45</v>
      </c>
      <c r="M5" s="29">
        <v>273.10000000000002</v>
      </c>
      <c r="N5" s="33">
        <v>31.86</v>
      </c>
      <c r="O5" s="1"/>
      <c r="P5" s="35">
        <v>0</v>
      </c>
      <c r="Q5" s="31">
        <v>0</v>
      </c>
      <c r="R5" s="31">
        <v>0</v>
      </c>
      <c r="S5" s="1"/>
    </row>
    <row r="6" spans="1:21" ht="15" x14ac:dyDescent="0.35">
      <c r="A6" s="19">
        <v>4</v>
      </c>
      <c r="B6" s="19">
        <v>23</v>
      </c>
      <c r="C6" s="30">
        <v>194.97</v>
      </c>
      <c r="D6" s="30">
        <v>173.14</v>
      </c>
      <c r="E6" s="30">
        <v>368.11</v>
      </c>
      <c r="F6" s="32" t="s">
        <v>6</v>
      </c>
      <c r="G6" s="34">
        <v>136.0602739</v>
      </c>
      <c r="H6" s="1"/>
      <c r="I6" s="19">
        <v>4</v>
      </c>
      <c r="J6" s="19">
        <v>23</v>
      </c>
      <c r="K6" s="30">
        <v>194.97</v>
      </c>
      <c r="L6" s="30">
        <v>173.14</v>
      </c>
      <c r="M6" s="30">
        <v>368.11</v>
      </c>
      <c r="N6" s="34">
        <v>46.25</v>
      </c>
      <c r="O6" s="1"/>
      <c r="P6" s="35">
        <v>0</v>
      </c>
      <c r="Q6" s="31">
        <v>0</v>
      </c>
      <c r="R6" s="31">
        <v>0</v>
      </c>
      <c r="S6" s="1"/>
    </row>
    <row r="7" spans="1:21" ht="15" x14ac:dyDescent="0.35">
      <c r="A7" s="28">
        <v>5</v>
      </c>
      <c r="B7" s="28">
        <v>24</v>
      </c>
      <c r="C7" s="29">
        <v>183.82</v>
      </c>
      <c r="D7" s="29">
        <v>191.66</v>
      </c>
      <c r="E7" s="29">
        <v>375.48</v>
      </c>
      <c r="F7" s="32" t="s">
        <v>6</v>
      </c>
      <c r="G7" s="33">
        <v>69.628381200000007</v>
      </c>
      <c r="H7" s="1"/>
      <c r="I7" s="28">
        <v>5</v>
      </c>
      <c r="J7" s="28">
        <v>24</v>
      </c>
      <c r="K7" s="29">
        <v>183.82</v>
      </c>
      <c r="L7" s="29">
        <v>191.66</v>
      </c>
      <c r="M7" s="29">
        <v>375.48</v>
      </c>
      <c r="N7" s="33">
        <v>47.28</v>
      </c>
      <c r="O7" s="1"/>
      <c r="P7" s="35">
        <v>0</v>
      </c>
      <c r="Q7" s="31">
        <v>0</v>
      </c>
      <c r="R7" s="31">
        <v>0</v>
      </c>
      <c r="S7" s="1"/>
    </row>
    <row r="8" spans="1:21" ht="15" x14ac:dyDescent="0.35">
      <c r="A8" s="19">
        <v>6</v>
      </c>
      <c r="B8" s="19">
        <v>21</v>
      </c>
      <c r="C8" s="30">
        <v>107.48</v>
      </c>
      <c r="D8" s="30">
        <v>153.19999999999999</v>
      </c>
      <c r="E8" s="30">
        <v>260.68</v>
      </c>
      <c r="F8" s="32" t="s">
        <v>6</v>
      </c>
      <c r="G8" s="34">
        <v>36.92521</v>
      </c>
      <c r="H8" s="1"/>
      <c r="I8" s="19">
        <v>6</v>
      </c>
      <c r="J8" s="19">
        <v>21</v>
      </c>
      <c r="K8" s="30">
        <v>107.48</v>
      </c>
      <c r="L8" s="30">
        <v>151.80000000000001</v>
      </c>
      <c r="M8" s="30">
        <v>259.27999999999997</v>
      </c>
      <c r="N8" s="34">
        <v>45.31</v>
      </c>
      <c r="O8" s="1"/>
      <c r="P8" s="35">
        <v>-5.3705692803438475E-3</v>
      </c>
      <c r="Q8" s="31">
        <v>0</v>
      </c>
      <c r="R8" s="31">
        <v>-9.1383812010442395E-3</v>
      </c>
      <c r="S8" s="1"/>
    </row>
    <row r="9" spans="1:21" ht="15" x14ac:dyDescent="0.35">
      <c r="A9" s="28">
        <v>7</v>
      </c>
      <c r="B9" s="28">
        <v>20</v>
      </c>
      <c r="C9" s="29">
        <v>65.8</v>
      </c>
      <c r="D9" s="29">
        <v>104.7</v>
      </c>
      <c r="E9" s="29">
        <v>170.5</v>
      </c>
      <c r="F9" s="32" t="s">
        <v>6</v>
      </c>
      <c r="G9" s="33">
        <v>13.977249</v>
      </c>
      <c r="H9" s="1"/>
      <c r="I9" s="28">
        <v>7</v>
      </c>
      <c r="J9" s="28">
        <v>20</v>
      </c>
      <c r="K9" s="29">
        <v>65.8</v>
      </c>
      <c r="L9" s="29">
        <v>104.7</v>
      </c>
      <c r="M9" s="29">
        <v>170.5</v>
      </c>
      <c r="N9" s="33">
        <v>44.69</v>
      </c>
      <c r="O9" s="1"/>
      <c r="P9" s="35">
        <v>0</v>
      </c>
      <c r="Q9" s="31">
        <v>0</v>
      </c>
      <c r="R9" s="31">
        <v>0</v>
      </c>
      <c r="S9" s="1"/>
    </row>
    <row r="10" spans="1:21" ht="15" x14ac:dyDescent="0.35">
      <c r="A10" s="19">
        <v>8</v>
      </c>
      <c r="B10" s="19">
        <v>30</v>
      </c>
      <c r="C10" s="30">
        <v>118.92</v>
      </c>
      <c r="D10" s="30">
        <v>170.61</v>
      </c>
      <c r="E10" s="30">
        <v>289.53000000000003</v>
      </c>
      <c r="F10" s="32" t="s">
        <v>6</v>
      </c>
      <c r="G10" s="34">
        <v>1196.2362994</v>
      </c>
      <c r="H10" s="1"/>
      <c r="I10" s="19">
        <v>8</v>
      </c>
      <c r="J10" s="19">
        <v>30</v>
      </c>
      <c r="K10" s="30">
        <v>118.92</v>
      </c>
      <c r="L10" s="30">
        <v>167.17</v>
      </c>
      <c r="M10" s="30">
        <v>286.08999999999997</v>
      </c>
      <c r="N10" s="34">
        <v>75.52</v>
      </c>
      <c r="O10" s="1"/>
      <c r="P10" s="35">
        <v>-1.1881324905882134E-2</v>
      </c>
      <c r="Q10" s="31">
        <v>0</v>
      </c>
      <c r="R10" s="31">
        <v>-2.0162944727741786E-2</v>
      </c>
      <c r="S10" s="1"/>
    </row>
    <row r="11" spans="1:21" ht="15" x14ac:dyDescent="0.35">
      <c r="A11" s="28">
        <v>9</v>
      </c>
      <c r="B11" s="28">
        <v>20</v>
      </c>
      <c r="C11" s="29">
        <v>302.17</v>
      </c>
      <c r="D11" s="29">
        <v>194.45</v>
      </c>
      <c r="E11" s="29">
        <v>496.62</v>
      </c>
      <c r="F11" s="32" t="s">
        <v>6</v>
      </c>
      <c r="G11" s="33">
        <v>1548.7471116000002</v>
      </c>
      <c r="H11" s="1"/>
      <c r="I11" s="28">
        <v>9</v>
      </c>
      <c r="J11" s="28">
        <v>20</v>
      </c>
      <c r="K11" s="29">
        <v>302.17</v>
      </c>
      <c r="L11" s="29">
        <v>194.45</v>
      </c>
      <c r="M11" s="29">
        <v>496.62</v>
      </c>
      <c r="N11" s="33">
        <v>30.76</v>
      </c>
      <c r="O11" s="1"/>
      <c r="P11" s="35">
        <v>0</v>
      </c>
      <c r="Q11" s="31">
        <v>0</v>
      </c>
      <c r="R11" s="31">
        <v>0</v>
      </c>
      <c r="S11" s="1"/>
    </row>
    <row r="12" spans="1:21" ht="15" x14ac:dyDescent="0.35">
      <c r="A12" s="19">
        <v>10</v>
      </c>
      <c r="B12" s="19">
        <v>20</v>
      </c>
      <c r="C12" s="30">
        <v>299.11</v>
      </c>
      <c r="D12" s="30">
        <v>230.38</v>
      </c>
      <c r="E12" s="30">
        <v>529.49</v>
      </c>
      <c r="F12" s="32" t="s">
        <v>6</v>
      </c>
      <c r="G12" s="34">
        <v>220.77451289999999</v>
      </c>
      <c r="H12" s="1"/>
      <c r="I12" s="19">
        <v>10</v>
      </c>
      <c r="J12" s="19">
        <v>20</v>
      </c>
      <c r="K12" s="30">
        <v>299.11</v>
      </c>
      <c r="L12" s="30">
        <v>230.38</v>
      </c>
      <c r="M12" s="30">
        <v>529.49</v>
      </c>
      <c r="N12" s="34">
        <v>35.619999999999997</v>
      </c>
      <c r="O12" s="1"/>
      <c r="P12" s="35">
        <v>0</v>
      </c>
      <c r="Q12" s="31">
        <v>0</v>
      </c>
      <c r="R12" s="31">
        <v>0</v>
      </c>
      <c r="S12" s="1"/>
    </row>
    <row r="13" spans="1:21" ht="15" x14ac:dyDescent="0.35">
      <c r="A13" s="28">
        <v>11</v>
      </c>
      <c r="B13" s="28">
        <v>18</v>
      </c>
      <c r="C13" s="29">
        <v>203.49</v>
      </c>
      <c r="D13" s="29">
        <v>336.76</v>
      </c>
      <c r="E13" s="29">
        <v>540.25</v>
      </c>
      <c r="F13" s="32" t="s">
        <v>6</v>
      </c>
      <c r="G13" s="33">
        <v>7.2816476999999997</v>
      </c>
      <c r="H13" s="1"/>
      <c r="I13" s="28">
        <v>11</v>
      </c>
      <c r="J13" s="28">
        <v>18</v>
      </c>
      <c r="K13" s="29">
        <v>203.49</v>
      </c>
      <c r="L13" s="29">
        <v>336.76</v>
      </c>
      <c r="M13" s="29">
        <v>540.25</v>
      </c>
      <c r="N13" s="33">
        <v>26.76</v>
      </c>
      <c r="O13" s="1"/>
      <c r="P13" s="35">
        <v>0</v>
      </c>
      <c r="Q13" s="31">
        <v>0</v>
      </c>
      <c r="R13" s="31">
        <v>0</v>
      </c>
      <c r="S13" s="1"/>
    </row>
    <row r="14" spans="1:21" ht="15" x14ac:dyDescent="0.35">
      <c r="A14" s="19">
        <v>12</v>
      </c>
      <c r="B14" s="19">
        <v>20</v>
      </c>
      <c r="C14" s="30">
        <v>243.27</v>
      </c>
      <c r="D14" s="30">
        <v>568.44000000000005</v>
      </c>
      <c r="E14" s="30">
        <v>811.71</v>
      </c>
      <c r="F14" s="20" t="s">
        <v>7</v>
      </c>
      <c r="G14" s="34">
        <v>7201.4402134000002</v>
      </c>
      <c r="H14" s="1"/>
      <c r="I14" s="19">
        <v>12</v>
      </c>
      <c r="J14" s="19">
        <v>20</v>
      </c>
      <c r="K14" s="30">
        <v>243.27</v>
      </c>
      <c r="L14" s="30">
        <v>573.24</v>
      </c>
      <c r="M14" s="30">
        <v>816.51</v>
      </c>
      <c r="N14" s="34">
        <v>33.869999999999997</v>
      </c>
      <c r="O14" s="1"/>
      <c r="P14" s="35">
        <v>5.9134419928298949E-3</v>
      </c>
      <c r="Q14" s="31">
        <v>0</v>
      </c>
      <c r="R14" s="31">
        <v>8.4441629723452857E-3</v>
      </c>
      <c r="S14" s="1"/>
    </row>
    <row r="15" spans="1:21" ht="15" x14ac:dyDescent="0.35">
      <c r="A15" s="28">
        <v>8001</v>
      </c>
      <c r="B15" s="28">
        <v>10</v>
      </c>
      <c r="C15" s="29">
        <v>249.71</v>
      </c>
      <c r="D15" s="29">
        <v>448.77</v>
      </c>
      <c r="E15" s="29">
        <v>698.48</v>
      </c>
      <c r="F15" s="32" t="s">
        <v>6</v>
      </c>
      <c r="G15" s="33">
        <v>21.038329399999999</v>
      </c>
      <c r="H15" s="1"/>
      <c r="I15" s="28">
        <v>8001</v>
      </c>
      <c r="J15" s="28">
        <v>10</v>
      </c>
      <c r="K15" s="29">
        <v>249.71</v>
      </c>
      <c r="L15" s="29">
        <v>448.77</v>
      </c>
      <c r="M15" s="29">
        <v>698.48</v>
      </c>
      <c r="N15" s="33">
        <v>18.940000000000001</v>
      </c>
      <c r="O15" s="1"/>
      <c r="P15" s="35">
        <v>0</v>
      </c>
      <c r="Q15" s="31">
        <v>0</v>
      </c>
      <c r="R15" s="31">
        <v>0</v>
      </c>
      <c r="S15" s="1"/>
    </row>
    <row r="16" spans="1:21" ht="15" x14ac:dyDescent="0.35">
      <c r="A16" s="19">
        <v>8002</v>
      </c>
      <c r="B16" s="19">
        <v>10</v>
      </c>
      <c r="C16" s="30">
        <v>220.78</v>
      </c>
      <c r="D16" s="30">
        <v>277.49</v>
      </c>
      <c r="E16" s="30">
        <v>498.27</v>
      </c>
      <c r="F16" s="32" t="s">
        <v>6</v>
      </c>
      <c r="G16" s="34">
        <v>0.4322416</v>
      </c>
      <c r="H16" s="1"/>
      <c r="I16" s="19">
        <v>8002</v>
      </c>
      <c r="J16" s="19">
        <v>10</v>
      </c>
      <c r="K16" s="30">
        <v>220.78</v>
      </c>
      <c r="L16" s="30">
        <v>277.49</v>
      </c>
      <c r="M16" s="30">
        <v>498.27</v>
      </c>
      <c r="N16" s="34">
        <v>17.86</v>
      </c>
      <c r="O16" s="1"/>
      <c r="P16" s="35">
        <v>0</v>
      </c>
      <c r="Q16" s="31">
        <v>0</v>
      </c>
      <c r="R16" s="31">
        <v>0</v>
      </c>
      <c r="S16" s="1"/>
    </row>
    <row r="17" spans="1:19" ht="15" x14ac:dyDescent="0.35">
      <c r="A17" s="28">
        <v>8003</v>
      </c>
      <c r="B17" s="28">
        <v>10</v>
      </c>
      <c r="C17" s="29">
        <v>291.60000000000002</v>
      </c>
      <c r="D17" s="29">
        <v>271.93</v>
      </c>
      <c r="E17" s="29">
        <v>563.53</v>
      </c>
      <c r="F17" s="32" t="s">
        <v>6</v>
      </c>
      <c r="G17" s="33">
        <v>0.46988209999999997</v>
      </c>
      <c r="H17" s="1"/>
      <c r="I17" s="28">
        <v>8003</v>
      </c>
      <c r="J17" s="28">
        <v>10</v>
      </c>
      <c r="K17" s="29">
        <v>291.60000000000002</v>
      </c>
      <c r="L17" s="29">
        <v>271.93</v>
      </c>
      <c r="M17" s="29">
        <v>563.53</v>
      </c>
      <c r="N17" s="33">
        <v>18.829999999999998</v>
      </c>
      <c r="O17" s="1"/>
      <c r="P17" s="35">
        <v>0</v>
      </c>
      <c r="Q17" s="31">
        <v>0</v>
      </c>
      <c r="R17" s="31">
        <v>0</v>
      </c>
      <c r="S17" s="1"/>
    </row>
    <row r="18" spans="1:19" ht="15" x14ac:dyDescent="0.35">
      <c r="A18" s="19">
        <v>8004</v>
      </c>
      <c r="B18" s="19">
        <v>10</v>
      </c>
      <c r="C18" s="30">
        <v>312.02</v>
      </c>
      <c r="D18" s="30">
        <v>253.51</v>
      </c>
      <c r="E18" s="30">
        <v>565.53</v>
      </c>
      <c r="F18" s="32" t="s">
        <v>6</v>
      </c>
      <c r="G18" s="34">
        <v>0.35861350000000003</v>
      </c>
      <c r="H18" s="1"/>
      <c r="I18" s="19">
        <v>8004</v>
      </c>
      <c r="J18" s="19">
        <v>10</v>
      </c>
      <c r="K18" s="30">
        <v>312.02</v>
      </c>
      <c r="L18" s="30">
        <v>253.51</v>
      </c>
      <c r="M18" s="30">
        <v>565.53</v>
      </c>
      <c r="N18" s="34">
        <v>17.72</v>
      </c>
      <c r="O18" s="1"/>
      <c r="P18" s="35">
        <v>0</v>
      </c>
      <c r="Q18" s="31">
        <v>0</v>
      </c>
      <c r="R18" s="31">
        <v>0</v>
      </c>
      <c r="S18" s="1"/>
    </row>
    <row r="19" spans="1:19" ht="15" x14ac:dyDescent="0.35">
      <c r="A19" s="28">
        <v>8005</v>
      </c>
      <c r="B19" s="28">
        <v>10</v>
      </c>
      <c r="C19" s="29">
        <v>284.08999999999997</v>
      </c>
      <c r="D19" s="29">
        <v>243.33</v>
      </c>
      <c r="E19" s="29">
        <v>527.41999999999996</v>
      </c>
      <c r="F19" s="32" t="s">
        <v>6</v>
      </c>
      <c r="G19" s="33">
        <v>0.59182849999999998</v>
      </c>
      <c r="H19" s="1"/>
      <c r="I19" s="28">
        <v>8005</v>
      </c>
      <c r="J19" s="28">
        <v>10</v>
      </c>
      <c r="K19" s="29">
        <v>284.08999999999997</v>
      </c>
      <c r="L19" s="29">
        <v>243.33</v>
      </c>
      <c r="M19" s="29">
        <v>527.41999999999996</v>
      </c>
      <c r="N19" s="33">
        <v>17.84</v>
      </c>
      <c r="O19" s="1"/>
      <c r="P19" s="35">
        <v>0</v>
      </c>
      <c r="Q19" s="31">
        <v>0</v>
      </c>
      <c r="R19" s="31">
        <v>0</v>
      </c>
      <c r="S19" s="1"/>
    </row>
    <row r="20" spans="1:19" ht="15" x14ac:dyDescent="0.35">
      <c r="A20" s="19">
        <v>8006</v>
      </c>
      <c r="B20" s="19">
        <v>15</v>
      </c>
      <c r="C20" s="30">
        <v>518.64</v>
      </c>
      <c r="D20" s="30">
        <v>227.2</v>
      </c>
      <c r="E20" s="30">
        <v>745.83999999999992</v>
      </c>
      <c r="F20" s="32" t="s">
        <v>6</v>
      </c>
      <c r="G20" s="34">
        <v>33.935757699999996</v>
      </c>
      <c r="H20" s="1"/>
      <c r="I20" s="19">
        <v>8006</v>
      </c>
      <c r="J20" s="19">
        <v>15</v>
      </c>
      <c r="K20" s="30">
        <v>518.64</v>
      </c>
      <c r="L20" s="30">
        <v>227.2</v>
      </c>
      <c r="M20" s="30">
        <v>745.84</v>
      </c>
      <c r="N20" s="34">
        <v>25.2</v>
      </c>
      <c r="O20" s="1"/>
      <c r="P20" s="35">
        <v>1.524279171425722E-16</v>
      </c>
      <c r="Q20" s="31">
        <v>0</v>
      </c>
      <c r="R20" s="31">
        <v>0</v>
      </c>
      <c r="S20" s="1"/>
    </row>
    <row r="21" spans="1:19" ht="15" x14ac:dyDescent="0.35">
      <c r="A21" s="28">
        <v>8007</v>
      </c>
      <c r="B21" s="28">
        <v>15</v>
      </c>
      <c r="C21" s="29">
        <v>320.74</v>
      </c>
      <c r="D21" s="29">
        <v>351.85</v>
      </c>
      <c r="E21" s="29">
        <v>672.59</v>
      </c>
      <c r="F21" s="32" t="s">
        <v>6</v>
      </c>
      <c r="G21" s="33">
        <v>1.2203474999999999</v>
      </c>
      <c r="H21" s="1"/>
      <c r="I21" s="28">
        <v>8007</v>
      </c>
      <c r="J21" s="28">
        <v>15</v>
      </c>
      <c r="K21" s="29">
        <v>320.74</v>
      </c>
      <c r="L21" s="29">
        <v>351.85</v>
      </c>
      <c r="M21" s="29">
        <v>672.59</v>
      </c>
      <c r="N21" s="33">
        <v>27.84</v>
      </c>
      <c r="O21" s="1"/>
      <c r="P21" s="35">
        <v>0</v>
      </c>
      <c r="Q21" s="31">
        <v>0</v>
      </c>
      <c r="R21" s="31">
        <v>0</v>
      </c>
      <c r="S21" s="1"/>
    </row>
    <row r="22" spans="1:19" ht="15" x14ac:dyDescent="0.35">
      <c r="A22" s="19">
        <v>8008</v>
      </c>
      <c r="B22" s="19">
        <v>15</v>
      </c>
      <c r="C22" s="30">
        <v>317.31</v>
      </c>
      <c r="D22" s="30">
        <v>310.27</v>
      </c>
      <c r="E22" s="30">
        <v>627.57999999999993</v>
      </c>
      <c r="F22" s="32" t="s">
        <v>6</v>
      </c>
      <c r="G22" s="34">
        <v>1.0740466</v>
      </c>
      <c r="H22" s="1"/>
      <c r="I22" s="19">
        <v>8008</v>
      </c>
      <c r="J22" s="19">
        <v>15</v>
      </c>
      <c r="K22" s="30">
        <v>317.31</v>
      </c>
      <c r="L22" s="30">
        <v>310.27</v>
      </c>
      <c r="M22" s="30">
        <v>627.58000000000004</v>
      </c>
      <c r="N22" s="34">
        <v>26.19</v>
      </c>
      <c r="O22" s="1"/>
      <c r="P22" s="35">
        <v>1.8115114841393296E-16</v>
      </c>
      <c r="Q22" s="31">
        <v>0</v>
      </c>
      <c r="R22" s="31">
        <v>0</v>
      </c>
      <c r="S22" s="1"/>
    </row>
    <row r="23" spans="1:19" ht="15" x14ac:dyDescent="0.35">
      <c r="A23" s="28">
        <v>8009</v>
      </c>
      <c r="B23" s="28">
        <v>15</v>
      </c>
      <c r="C23" s="29">
        <v>292.86</v>
      </c>
      <c r="D23" s="29">
        <v>301.14999999999998</v>
      </c>
      <c r="E23" s="29">
        <v>594.01</v>
      </c>
      <c r="F23" s="32" t="s">
        <v>6</v>
      </c>
      <c r="G23" s="33">
        <v>1.2395745</v>
      </c>
      <c r="H23" s="1"/>
      <c r="I23" s="28">
        <v>8009</v>
      </c>
      <c r="J23" s="28">
        <v>15</v>
      </c>
      <c r="K23" s="29">
        <v>292.86</v>
      </c>
      <c r="L23" s="29">
        <v>301.14999999999998</v>
      </c>
      <c r="M23" s="29">
        <v>594.01</v>
      </c>
      <c r="N23" s="33">
        <v>22.03</v>
      </c>
      <c r="O23" s="1"/>
      <c r="P23" s="35">
        <v>0</v>
      </c>
      <c r="Q23" s="31">
        <v>0</v>
      </c>
      <c r="R23" s="31">
        <v>0</v>
      </c>
      <c r="S23" s="1"/>
    </row>
    <row r="24" spans="1:19" ht="15" x14ac:dyDescent="0.35">
      <c r="A24" s="19">
        <v>8010</v>
      </c>
      <c r="B24" s="19">
        <v>15</v>
      </c>
      <c r="C24" s="30">
        <v>256.88</v>
      </c>
      <c r="D24" s="30">
        <v>337.38</v>
      </c>
      <c r="E24" s="30">
        <v>594.26</v>
      </c>
      <c r="F24" s="32" t="s">
        <v>6</v>
      </c>
      <c r="G24" s="34">
        <v>0.96279979999999998</v>
      </c>
      <c r="H24" s="1"/>
      <c r="I24" s="19">
        <v>8010</v>
      </c>
      <c r="J24" s="19">
        <v>15</v>
      </c>
      <c r="K24" s="30">
        <v>256.88</v>
      </c>
      <c r="L24" s="30">
        <v>337.38</v>
      </c>
      <c r="M24" s="30">
        <v>594.26</v>
      </c>
      <c r="N24" s="34">
        <v>26.86</v>
      </c>
      <c r="O24" s="1"/>
      <c r="P24" s="35">
        <v>0</v>
      </c>
      <c r="Q24" s="31">
        <v>0</v>
      </c>
      <c r="R24" s="31">
        <v>0</v>
      </c>
      <c r="S24" s="1"/>
    </row>
    <row r="25" spans="1:19" ht="15" x14ac:dyDescent="0.35">
      <c r="A25" s="28">
        <v>8011</v>
      </c>
      <c r="B25" s="28">
        <v>20</v>
      </c>
      <c r="C25" s="29">
        <v>459.21</v>
      </c>
      <c r="D25" s="29">
        <v>373.51</v>
      </c>
      <c r="E25" s="29">
        <v>832.72</v>
      </c>
      <c r="F25" s="32" t="s">
        <v>6</v>
      </c>
      <c r="G25" s="33">
        <v>33.677552300000002</v>
      </c>
      <c r="H25" s="1"/>
      <c r="I25" s="28">
        <v>8011</v>
      </c>
      <c r="J25" s="28">
        <v>20</v>
      </c>
      <c r="K25" s="29">
        <v>482.8</v>
      </c>
      <c r="L25" s="29">
        <v>373.51</v>
      </c>
      <c r="M25" s="29">
        <v>856.31</v>
      </c>
      <c r="N25" s="33">
        <v>31.73</v>
      </c>
      <c r="O25" s="1"/>
      <c r="P25" s="35">
        <v>2.8328850033624647E-2</v>
      </c>
      <c r="Q25" s="31">
        <v>5.1370832516713559E-2</v>
      </c>
      <c r="R25" s="31">
        <v>0</v>
      </c>
      <c r="S25" s="1"/>
    </row>
    <row r="26" spans="1:19" ht="15" x14ac:dyDescent="0.35">
      <c r="A26" s="19">
        <v>8012</v>
      </c>
      <c r="B26" s="19">
        <v>20</v>
      </c>
      <c r="C26" s="30">
        <v>331.64</v>
      </c>
      <c r="D26" s="30">
        <v>346.63</v>
      </c>
      <c r="E26" s="30">
        <v>678.27</v>
      </c>
      <c r="F26" s="32" t="s">
        <v>6</v>
      </c>
      <c r="G26" s="34">
        <v>3.5922841999999999</v>
      </c>
      <c r="H26" s="1"/>
      <c r="I26" s="19">
        <v>8012</v>
      </c>
      <c r="J26" s="19">
        <v>20</v>
      </c>
      <c r="K26" s="30">
        <v>331.64</v>
      </c>
      <c r="L26" s="30">
        <v>346.63</v>
      </c>
      <c r="M26" s="30">
        <v>678.27</v>
      </c>
      <c r="N26" s="34">
        <v>43.04</v>
      </c>
      <c r="O26" s="1"/>
      <c r="P26" s="35">
        <v>0</v>
      </c>
      <c r="Q26" s="31">
        <v>0</v>
      </c>
      <c r="R26" s="31">
        <v>0</v>
      </c>
      <c r="S26" s="1"/>
    </row>
    <row r="27" spans="1:19" ht="15" x14ac:dyDescent="0.35">
      <c r="A27" s="28">
        <v>8013</v>
      </c>
      <c r="B27" s="28">
        <v>20</v>
      </c>
      <c r="C27" s="29">
        <v>334.44</v>
      </c>
      <c r="D27" s="29">
        <v>365.81</v>
      </c>
      <c r="E27" s="29">
        <v>700.25</v>
      </c>
      <c r="F27" s="32" t="s">
        <v>6</v>
      </c>
      <c r="G27" s="33">
        <v>2.7494901</v>
      </c>
      <c r="H27" s="1"/>
      <c r="I27" s="28">
        <v>8013</v>
      </c>
      <c r="J27" s="28">
        <v>20</v>
      </c>
      <c r="K27" s="29">
        <v>334.44</v>
      </c>
      <c r="L27" s="29">
        <v>365.81</v>
      </c>
      <c r="M27" s="29">
        <v>700.25</v>
      </c>
      <c r="N27" s="33">
        <v>43.72</v>
      </c>
      <c r="O27" s="1"/>
      <c r="P27" s="35">
        <v>0</v>
      </c>
      <c r="Q27" s="31">
        <v>0</v>
      </c>
      <c r="R27" s="31">
        <v>0</v>
      </c>
      <c r="S27" s="1"/>
    </row>
    <row r="28" spans="1:19" ht="15" x14ac:dyDescent="0.35">
      <c r="A28" s="19">
        <v>8014</v>
      </c>
      <c r="B28" s="19">
        <v>20</v>
      </c>
      <c r="C28" s="30">
        <v>278.5</v>
      </c>
      <c r="D28" s="30">
        <v>379.28</v>
      </c>
      <c r="E28" s="30">
        <v>657.78</v>
      </c>
      <c r="F28" s="32" t="s">
        <v>6</v>
      </c>
      <c r="G28" s="34">
        <v>4.2134521999999999</v>
      </c>
      <c r="H28" s="1"/>
      <c r="I28" s="19">
        <v>8014</v>
      </c>
      <c r="J28" s="19">
        <v>20</v>
      </c>
      <c r="K28" s="30">
        <v>278.5</v>
      </c>
      <c r="L28" s="30">
        <v>379.28</v>
      </c>
      <c r="M28" s="30">
        <v>657.78</v>
      </c>
      <c r="N28" s="34">
        <v>47.6</v>
      </c>
      <c r="O28" s="1"/>
      <c r="P28" s="35">
        <v>0</v>
      </c>
      <c r="Q28" s="31">
        <v>0</v>
      </c>
      <c r="R28" s="31">
        <v>0</v>
      </c>
      <c r="S28" s="1"/>
    </row>
    <row r="29" spans="1:19" ht="15" x14ac:dyDescent="0.35">
      <c r="A29" s="28">
        <v>8015</v>
      </c>
      <c r="B29" s="28">
        <v>20</v>
      </c>
      <c r="C29" s="29">
        <v>386.37</v>
      </c>
      <c r="D29" s="29">
        <v>293.39</v>
      </c>
      <c r="E29" s="29">
        <v>679.76</v>
      </c>
      <c r="F29" s="32" t="s">
        <v>6</v>
      </c>
      <c r="G29" s="33">
        <v>6.2105044999999999</v>
      </c>
      <c r="H29" s="1"/>
      <c r="I29" s="28">
        <v>8015</v>
      </c>
      <c r="J29" s="28">
        <v>20</v>
      </c>
      <c r="K29" s="29">
        <v>386.37</v>
      </c>
      <c r="L29" s="29">
        <v>293.39</v>
      </c>
      <c r="M29" s="29">
        <v>679.76</v>
      </c>
      <c r="N29" s="33">
        <v>49.88</v>
      </c>
      <c r="O29" s="1"/>
      <c r="P29" s="35">
        <v>0</v>
      </c>
      <c r="Q29" s="31">
        <v>0</v>
      </c>
      <c r="R29" s="31">
        <v>0</v>
      </c>
      <c r="S29" s="1"/>
    </row>
    <row r="30" spans="1:19" ht="15" x14ac:dyDescent="0.35">
      <c r="A30" s="19">
        <v>8016</v>
      </c>
      <c r="B30" s="19">
        <v>25</v>
      </c>
      <c r="C30" s="30">
        <v>622.48</v>
      </c>
      <c r="D30" s="30">
        <v>622.20000000000005</v>
      </c>
      <c r="E30" s="30">
        <v>1244.68</v>
      </c>
      <c r="F30" s="32" t="s">
        <v>6</v>
      </c>
      <c r="G30" s="34">
        <v>5942.5991261999998</v>
      </c>
      <c r="H30" s="1"/>
      <c r="I30" s="19">
        <v>8016</v>
      </c>
      <c r="J30" s="19">
        <v>25</v>
      </c>
      <c r="K30" s="30">
        <v>622.48</v>
      </c>
      <c r="L30" s="30">
        <v>622.20000000000005</v>
      </c>
      <c r="M30" s="30">
        <v>1244.68</v>
      </c>
      <c r="N30" s="34">
        <v>42.98</v>
      </c>
      <c r="O30" s="1"/>
      <c r="P30" s="35">
        <v>0</v>
      </c>
      <c r="Q30" s="31">
        <v>0</v>
      </c>
      <c r="R30" s="31">
        <v>0</v>
      </c>
      <c r="S30" s="1"/>
    </row>
    <row r="31" spans="1:19" ht="15" x14ac:dyDescent="0.35">
      <c r="A31" s="28">
        <v>8017</v>
      </c>
      <c r="B31" s="28">
        <v>25</v>
      </c>
      <c r="C31" s="29">
        <v>417.85</v>
      </c>
      <c r="D31" s="29">
        <v>346.05</v>
      </c>
      <c r="E31" s="29">
        <v>763.90000000000009</v>
      </c>
      <c r="F31" s="32" t="s">
        <v>6</v>
      </c>
      <c r="G31" s="33">
        <v>660.40762640000003</v>
      </c>
      <c r="H31" s="1"/>
      <c r="I31" s="28">
        <v>8017</v>
      </c>
      <c r="J31" s="28">
        <v>25</v>
      </c>
      <c r="K31" s="29">
        <v>417.85</v>
      </c>
      <c r="L31" s="29">
        <v>346.05</v>
      </c>
      <c r="M31" s="29">
        <v>763.9</v>
      </c>
      <c r="N31" s="33">
        <v>49.49</v>
      </c>
      <c r="O31" s="1"/>
      <c r="P31" s="35">
        <v>-1.4882424102842783E-16</v>
      </c>
      <c r="Q31" s="31">
        <v>0</v>
      </c>
      <c r="R31" s="31">
        <v>0</v>
      </c>
      <c r="S31" s="1"/>
    </row>
    <row r="32" spans="1:19" ht="15" x14ac:dyDescent="0.35">
      <c r="A32" s="19">
        <v>8018</v>
      </c>
      <c r="B32" s="19">
        <v>25</v>
      </c>
      <c r="C32" s="30">
        <v>369.66</v>
      </c>
      <c r="D32" s="30">
        <v>328.34</v>
      </c>
      <c r="E32" s="30">
        <v>698</v>
      </c>
      <c r="F32" s="32" t="s">
        <v>6</v>
      </c>
      <c r="G32" s="34">
        <v>4.6474711000000006</v>
      </c>
      <c r="H32" s="1"/>
      <c r="I32" s="19">
        <v>8018</v>
      </c>
      <c r="J32" s="19">
        <v>25</v>
      </c>
      <c r="K32" s="30">
        <v>369.66</v>
      </c>
      <c r="L32" s="30">
        <v>328.34</v>
      </c>
      <c r="M32" s="30">
        <v>698</v>
      </c>
      <c r="N32" s="34">
        <v>55.18</v>
      </c>
      <c r="O32" s="1"/>
      <c r="P32" s="35">
        <v>0</v>
      </c>
      <c r="Q32" s="31">
        <v>0</v>
      </c>
      <c r="R32" s="31">
        <v>0</v>
      </c>
      <c r="S32" s="1"/>
    </row>
    <row r="33" spans="1:19" ht="15" x14ac:dyDescent="0.35">
      <c r="A33" s="28">
        <v>8019</v>
      </c>
      <c r="B33" s="28">
        <v>25</v>
      </c>
      <c r="C33" s="29">
        <v>320.37</v>
      </c>
      <c r="D33" s="29">
        <v>350.14</v>
      </c>
      <c r="E33" s="29">
        <v>670.51</v>
      </c>
      <c r="F33" s="32" t="s">
        <v>6</v>
      </c>
      <c r="G33" s="33">
        <v>7.0623336999999999</v>
      </c>
      <c r="H33" s="1"/>
      <c r="I33" s="28">
        <v>8019</v>
      </c>
      <c r="J33" s="28">
        <v>25</v>
      </c>
      <c r="K33" s="29">
        <v>320.37</v>
      </c>
      <c r="L33" s="29">
        <v>350.14</v>
      </c>
      <c r="M33" s="29">
        <v>670.51</v>
      </c>
      <c r="N33" s="33">
        <v>51.56</v>
      </c>
      <c r="O33" s="1"/>
      <c r="P33" s="35">
        <v>0</v>
      </c>
      <c r="Q33" s="31">
        <v>0</v>
      </c>
      <c r="R33" s="31">
        <v>0</v>
      </c>
      <c r="S33" s="1"/>
    </row>
    <row r="34" spans="1:19" ht="15" x14ac:dyDescent="0.35">
      <c r="A34" s="19">
        <v>8020</v>
      </c>
      <c r="B34" s="19">
        <v>25</v>
      </c>
      <c r="C34" s="30">
        <v>501.01</v>
      </c>
      <c r="D34" s="30">
        <v>342.8</v>
      </c>
      <c r="E34" s="30">
        <v>843.81</v>
      </c>
      <c r="F34" s="32" t="s">
        <v>6</v>
      </c>
      <c r="G34" s="34">
        <v>5774.6669409999995</v>
      </c>
      <c r="H34" s="1"/>
      <c r="I34" s="19">
        <v>8020</v>
      </c>
      <c r="J34" s="19">
        <v>25</v>
      </c>
      <c r="K34" s="30">
        <v>507.26</v>
      </c>
      <c r="L34" s="30">
        <v>342.8</v>
      </c>
      <c r="M34" s="30">
        <v>850.06</v>
      </c>
      <c r="N34" s="34">
        <v>44.77</v>
      </c>
      <c r="O34" s="1"/>
      <c r="P34" s="35">
        <v>7.4068806958912554E-3</v>
      </c>
      <c r="Q34" s="31">
        <v>1.2474800902177601E-2</v>
      </c>
      <c r="R34" s="31">
        <v>0</v>
      </c>
      <c r="S34" s="1"/>
    </row>
    <row r="35" spans="1:19" ht="15" x14ac:dyDescent="0.35">
      <c r="A35" s="28">
        <v>8021</v>
      </c>
      <c r="B35" s="28">
        <v>30</v>
      </c>
      <c r="C35" s="29">
        <v>677.55</v>
      </c>
      <c r="D35" s="29">
        <v>494.85</v>
      </c>
      <c r="E35" s="29">
        <v>1172.4000000000001</v>
      </c>
      <c r="F35" s="20" t="s">
        <v>7</v>
      </c>
      <c r="G35" s="33">
        <v>7377.217909</v>
      </c>
      <c r="H35" s="1"/>
      <c r="I35" s="28">
        <v>8021</v>
      </c>
      <c r="J35" s="28">
        <v>30</v>
      </c>
      <c r="K35" s="29">
        <v>678.91</v>
      </c>
      <c r="L35" s="29">
        <v>494.85</v>
      </c>
      <c r="M35" s="29">
        <v>1173.76</v>
      </c>
      <c r="N35" s="33">
        <v>65.89</v>
      </c>
      <c r="O35" s="1"/>
      <c r="P35" s="35">
        <v>1.1600136472192937E-3</v>
      </c>
      <c r="Q35" s="31">
        <v>2.0072319386023373E-3</v>
      </c>
      <c r="R35" s="31">
        <v>0</v>
      </c>
      <c r="S35" s="1"/>
    </row>
    <row r="36" spans="1:19" ht="15" x14ac:dyDescent="0.35">
      <c r="A36" s="19">
        <v>8022</v>
      </c>
      <c r="B36" s="19">
        <v>30</v>
      </c>
      <c r="C36" s="30">
        <v>545.39</v>
      </c>
      <c r="D36" s="30">
        <v>512.25</v>
      </c>
      <c r="E36" s="30">
        <v>1057.6399999999999</v>
      </c>
      <c r="F36" s="20" t="s">
        <v>7</v>
      </c>
      <c r="G36" s="34">
        <v>14402.3154218</v>
      </c>
      <c r="H36" s="1"/>
      <c r="I36" s="19">
        <v>8022</v>
      </c>
      <c r="J36" s="19">
        <v>30</v>
      </c>
      <c r="K36" s="30">
        <v>545.39</v>
      </c>
      <c r="L36" s="30">
        <v>512.25</v>
      </c>
      <c r="M36" s="30">
        <v>1057.6400000000001</v>
      </c>
      <c r="N36" s="34">
        <v>82.31</v>
      </c>
      <c r="O36" s="1"/>
      <c r="P36" s="35">
        <v>2.1498210680688333E-16</v>
      </c>
      <c r="Q36" s="31">
        <v>0</v>
      </c>
      <c r="R36" s="31">
        <v>0</v>
      </c>
      <c r="S36" s="1"/>
    </row>
    <row r="37" spans="1:19" ht="15" x14ac:dyDescent="0.35">
      <c r="A37" s="28">
        <v>8023</v>
      </c>
      <c r="B37" s="28">
        <v>30</v>
      </c>
      <c r="C37" s="29">
        <v>458.26</v>
      </c>
      <c r="D37" s="29">
        <v>319.75</v>
      </c>
      <c r="E37" s="29">
        <v>778.01</v>
      </c>
      <c r="F37" s="20" t="s">
        <v>7</v>
      </c>
      <c r="G37" s="33">
        <v>7205.3788558000006</v>
      </c>
      <c r="H37" s="1"/>
      <c r="I37" s="28">
        <v>8023</v>
      </c>
      <c r="J37" s="28">
        <v>30</v>
      </c>
      <c r="K37" s="29">
        <v>458.26</v>
      </c>
      <c r="L37" s="29">
        <v>319.75</v>
      </c>
      <c r="M37" s="29">
        <v>778.01</v>
      </c>
      <c r="N37" s="33">
        <v>61.95</v>
      </c>
      <c r="O37" s="1"/>
      <c r="P37" s="35">
        <v>0</v>
      </c>
      <c r="Q37" s="31">
        <v>0</v>
      </c>
      <c r="R37" s="31">
        <v>0</v>
      </c>
      <c r="S37" s="1"/>
    </row>
    <row r="38" spans="1:19" ht="15" x14ac:dyDescent="0.35">
      <c r="A38" s="19">
        <v>8024</v>
      </c>
      <c r="B38" s="19">
        <v>30</v>
      </c>
      <c r="C38" s="30">
        <v>405.28</v>
      </c>
      <c r="D38" s="30">
        <v>351.94</v>
      </c>
      <c r="E38" s="30">
        <v>757.22</v>
      </c>
      <c r="F38" s="32" t="s">
        <v>6</v>
      </c>
      <c r="G38" s="34">
        <v>25.241432400000001</v>
      </c>
      <c r="H38" s="1"/>
      <c r="I38" s="19">
        <v>8024</v>
      </c>
      <c r="J38" s="19">
        <v>30</v>
      </c>
      <c r="K38" s="30">
        <v>405.28</v>
      </c>
      <c r="L38" s="30">
        <v>351.94</v>
      </c>
      <c r="M38" s="30">
        <v>757.22</v>
      </c>
      <c r="N38" s="34">
        <v>90.75</v>
      </c>
      <c r="O38" s="1"/>
      <c r="P38" s="35">
        <v>0</v>
      </c>
      <c r="Q38" s="31">
        <v>0</v>
      </c>
      <c r="R38" s="31">
        <v>0</v>
      </c>
      <c r="S38" s="1"/>
    </row>
    <row r="39" spans="1:19" ht="15" x14ac:dyDescent="0.35">
      <c r="A39" s="28">
        <v>8025</v>
      </c>
      <c r="B39" s="28">
        <v>30</v>
      </c>
      <c r="C39" s="29">
        <v>591.80999999999995</v>
      </c>
      <c r="D39" s="29">
        <v>490.33</v>
      </c>
      <c r="E39" s="29">
        <v>1082.1399999999999</v>
      </c>
      <c r="F39" s="20" t="s">
        <v>7</v>
      </c>
      <c r="G39" s="33">
        <v>12411.996706900001</v>
      </c>
      <c r="H39" s="1"/>
      <c r="I39" s="28">
        <v>8025</v>
      </c>
      <c r="J39" s="28">
        <v>30</v>
      </c>
      <c r="K39" s="29">
        <v>596.66999999999996</v>
      </c>
      <c r="L39" s="29">
        <v>490.33</v>
      </c>
      <c r="M39" s="29">
        <v>1087</v>
      </c>
      <c r="N39" s="33">
        <v>74</v>
      </c>
      <c r="O39" s="1"/>
      <c r="P39" s="35">
        <v>4.49110096660333E-3</v>
      </c>
      <c r="Q39" s="31">
        <v>8.2120950980889371E-3</v>
      </c>
      <c r="R39" s="31">
        <v>0</v>
      </c>
      <c r="S39" s="1"/>
    </row>
    <row r="40" spans="1:19" ht="15" x14ac:dyDescent="0.35">
      <c r="A40" s="19">
        <v>8026</v>
      </c>
      <c r="B40" s="19">
        <v>10</v>
      </c>
      <c r="C40" s="30">
        <v>418.97</v>
      </c>
      <c r="D40" s="30">
        <v>452.37</v>
      </c>
      <c r="E40" s="30">
        <v>871.34</v>
      </c>
      <c r="F40" s="32" t="s">
        <v>6</v>
      </c>
      <c r="G40" s="34">
        <v>3.1520994</v>
      </c>
      <c r="H40" s="1"/>
      <c r="I40" s="19">
        <v>8026</v>
      </c>
      <c r="J40" s="19">
        <v>10</v>
      </c>
      <c r="K40" s="30">
        <v>418.97</v>
      </c>
      <c r="L40" s="30">
        <v>452.37</v>
      </c>
      <c r="M40" s="30">
        <v>871.34</v>
      </c>
      <c r="N40" s="34">
        <v>16.190000000000001</v>
      </c>
      <c r="O40" s="1"/>
      <c r="P40" s="35">
        <v>0</v>
      </c>
      <c r="Q40" s="31">
        <v>0</v>
      </c>
      <c r="R40" s="31">
        <v>0</v>
      </c>
      <c r="S40" s="1"/>
    </row>
    <row r="41" spans="1:19" ht="15" x14ac:dyDescent="0.35">
      <c r="A41" s="28">
        <v>8027</v>
      </c>
      <c r="B41" s="28">
        <v>10</v>
      </c>
      <c r="C41" s="29">
        <v>286.95999999999998</v>
      </c>
      <c r="D41" s="29">
        <v>344.13</v>
      </c>
      <c r="E41" s="29">
        <v>631.08999999999992</v>
      </c>
      <c r="F41" s="32" t="s">
        <v>6</v>
      </c>
      <c r="G41" s="33">
        <v>1.0952837</v>
      </c>
      <c r="H41" s="1"/>
      <c r="I41" s="28">
        <v>8027</v>
      </c>
      <c r="J41" s="28">
        <v>10</v>
      </c>
      <c r="K41" s="29">
        <v>286.95999999999998</v>
      </c>
      <c r="L41" s="29">
        <v>344.13</v>
      </c>
      <c r="M41" s="29">
        <v>631.09</v>
      </c>
      <c r="N41" s="33">
        <v>16.760000000000002</v>
      </c>
      <c r="O41" s="1"/>
      <c r="P41" s="35">
        <v>1.801436209124151E-16</v>
      </c>
      <c r="Q41" s="31">
        <v>0</v>
      </c>
      <c r="R41" s="31">
        <v>0</v>
      </c>
      <c r="S41" s="1"/>
    </row>
    <row r="42" spans="1:19" ht="15" x14ac:dyDescent="0.35">
      <c r="A42" s="19">
        <v>8028</v>
      </c>
      <c r="B42" s="19">
        <v>10</v>
      </c>
      <c r="C42" s="30">
        <v>245.81</v>
      </c>
      <c r="D42" s="30">
        <v>244.18</v>
      </c>
      <c r="E42" s="30">
        <v>489.99</v>
      </c>
      <c r="F42" s="32" t="s">
        <v>6</v>
      </c>
      <c r="G42" s="34">
        <v>0.58837110000000004</v>
      </c>
      <c r="H42" s="1"/>
      <c r="I42" s="19">
        <v>8028</v>
      </c>
      <c r="J42" s="19">
        <v>10</v>
      </c>
      <c r="K42" s="30">
        <v>245.81</v>
      </c>
      <c r="L42" s="30">
        <v>244.18</v>
      </c>
      <c r="M42" s="30">
        <v>489.99</v>
      </c>
      <c r="N42" s="34">
        <v>17.760000000000002</v>
      </c>
      <c r="O42" s="1"/>
      <c r="P42" s="35">
        <v>0</v>
      </c>
      <c r="Q42" s="31">
        <v>0</v>
      </c>
      <c r="R42" s="31">
        <v>0</v>
      </c>
      <c r="S42" s="1"/>
    </row>
    <row r="43" spans="1:19" ht="15" x14ac:dyDescent="0.35">
      <c r="A43" s="28">
        <v>8029</v>
      </c>
      <c r="B43" s="28">
        <v>10</v>
      </c>
      <c r="C43" s="29">
        <v>299.17</v>
      </c>
      <c r="D43" s="29">
        <v>249.47</v>
      </c>
      <c r="E43" s="29">
        <v>548.64</v>
      </c>
      <c r="F43" s="32" t="s">
        <v>6</v>
      </c>
      <c r="G43" s="33">
        <v>0.87577909999999992</v>
      </c>
      <c r="H43" s="1"/>
      <c r="I43" s="28">
        <v>8029</v>
      </c>
      <c r="J43" s="28">
        <v>10</v>
      </c>
      <c r="K43" s="29">
        <v>299.17</v>
      </c>
      <c r="L43" s="29">
        <v>249.47</v>
      </c>
      <c r="M43" s="29">
        <v>548.64</v>
      </c>
      <c r="N43" s="33">
        <v>17.440000000000001</v>
      </c>
      <c r="O43" s="1"/>
      <c r="P43" s="35">
        <v>0</v>
      </c>
      <c r="Q43" s="31">
        <v>0</v>
      </c>
      <c r="R43" s="31">
        <v>0</v>
      </c>
      <c r="S43" s="1"/>
    </row>
    <row r="44" spans="1:19" ht="15" x14ac:dyDescent="0.35">
      <c r="A44" s="19">
        <v>8030</v>
      </c>
      <c r="B44" s="19">
        <v>10</v>
      </c>
      <c r="C44" s="30">
        <v>214.68</v>
      </c>
      <c r="D44" s="30">
        <v>333.82</v>
      </c>
      <c r="E44" s="30">
        <v>548.5</v>
      </c>
      <c r="F44" s="32" t="s">
        <v>6</v>
      </c>
      <c r="G44" s="34">
        <v>1.1224181</v>
      </c>
      <c r="H44" s="1"/>
      <c r="I44" s="19">
        <v>8030</v>
      </c>
      <c r="J44" s="19">
        <v>10</v>
      </c>
      <c r="K44" s="30">
        <v>214.68</v>
      </c>
      <c r="L44" s="30">
        <v>333.82</v>
      </c>
      <c r="M44" s="30">
        <v>548.5</v>
      </c>
      <c r="N44" s="34">
        <v>18.829999999999998</v>
      </c>
      <c r="O44" s="1"/>
      <c r="P44" s="35">
        <v>0</v>
      </c>
      <c r="Q44" s="31">
        <v>0</v>
      </c>
      <c r="R44" s="31">
        <v>0</v>
      </c>
      <c r="S44" s="1"/>
    </row>
    <row r="45" spans="1:19" ht="15" x14ac:dyDescent="0.35">
      <c r="A45" s="28">
        <v>8031</v>
      </c>
      <c r="B45" s="28">
        <v>15</v>
      </c>
      <c r="C45" s="29">
        <v>477.53</v>
      </c>
      <c r="D45" s="29">
        <v>490.55</v>
      </c>
      <c r="E45" s="29">
        <v>968.07999999999993</v>
      </c>
      <c r="F45" s="32" t="s">
        <v>6</v>
      </c>
      <c r="G45" s="33">
        <v>9.3897127999999999</v>
      </c>
      <c r="H45" s="1"/>
      <c r="I45" s="28">
        <v>8031</v>
      </c>
      <c r="J45" s="28">
        <v>15</v>
      </c>
      <c r="K45" s="29">
        <v>477.53</v>
      </c>
      <c r="L45" s="29">
        <v>490.55</v>
      </c>
      <c r="M45" s="29">
        <v>968.08</v>
      </c>
      <c r="N45" s="33">
        <v>18.79</v>
      </c>
      <c r="O45" s="1"/>
      <c r="P45" s="35">
        <v>1.1743537488804236E-16</v>
      </c>
      <c r="Q45" s="31">
        <v>0</v>
      </c>
      <c r="R45" s="31">
        <v>0</v>
      </c>
      <c r="S45" s="1"/>
    </row>
    <row r="46" spans="1:19" ht="15" x14ac:dyDescent="0.35">
      <c r="A46" s="19">
        <v>8032</v>
      </c>
      <c r="B46" s="19">
        <v>15</v>
      </c>
      <c r="C46" s="30">
        <v>259.64999999999998</v>
      </c>
      <c r="D46" s="30">
        <v>385.71</v>
      </c>
      <c r="E46" s="30">
        <v>645.3599999999999</v>
      </c>
      <c r="F46" s="32" t="s">
        <v>6</v>
      </c>
      <c r="G46" s="34">
        <v>41.475044500000003</v>
      </c>
      <c r="H46" s="1"/>
      <c r="I46" s="19">
        <v>8032</v>
      </c>
      <c r="J46" s="19">
        <v>15</v>
      </c>
      <c r="K46" s="30">
        <v>259.64999999999998</v>
      </c>
      <c r="L46" s="30">
        <v>385.71</v>
      </c>
      <c r="M46" s="30">
        <v>645.36</v>
      </c>
      <c r="N46" s="34">
        <v>22.14</v>
      </c>
      <c r="O46" s="1"/>
      <c r="P46" s="35">
        <v>1.7616034108345117E-16</v>
      </c>
      <c r="Q46" s="31">
        <v>0</v>
      </c>
      <c r="R46" s="31">
        <v>0</v>
      </c>
      <c r="S46" s="1"/>
    </row>
    <row r="47" spans="1:19" ht="15" x14ac:dyDescent="0.35">
      <c r="A47" s="28">
        <v>8033</v>
      </c>
      <c r="B47" s="28">
        <v>15</v>
      </c>
      <c r="C47" s="29">
        <v>329.06</v>
      </c>
      <c r="D47" s="29">
        <v>447.83</v>
      </c>
      <c r="E47" s="29">
        <v>776.89</v>
      </c>
      <c r="F47" s="32" t="s">
        <v>6</v>
      </c>
      <c r="G47" s="33">
        <v>17.571702500000001</v>
      </c>
      <c r="H47" s="1"/>
      <c r="I47" s="28">
        <v>8033</v>
      </c>
      <c r="J47" s="28">
        <v>15</v>
      </c>
      <c r="K47" s="29">
        <v>329.06</v>
      </c>
      <c r="L47" s="29">
        <v>447.83</v>
      </c>
      <c r="M47" s="29">
        <v>776.89</v>
      </c>
      <c r="N47" s="33">
        <v>22.53</v>
      </c>
      <c r="O47" s="1"/>
      <c r="P47" s="35">
        <v>0</v>
      </c>
      <c r="Q47" s="31">
        <v>0</v>
      </c>
      <c r="R47" s="31">
        <v>0</v>
      </c>
      <c r="S47" s="1"/>
    </row>
    <row r="48" spans="1:19" ht="15" x14ac:dyDescent="0.35">
      <c r="A48" s="19">
        <v>8034</v>
      </c>
      <c r="B48" s="19">
        <v>15</v>
      </c>
      <c r="C48" s="30">
        <v>373.5</v>
      </c>
      <c r="D48" s="30">
        <v>345.78</v>
      </c>
      <c r="E48" s="30">
        <v>719.28</v>
      </c>
      <c r="F48" s="32" t="s">
        <v>6</v>
      </c>
      <c r="G48" s="34">
        <v>2.2336746999999999</v>
      </c>
      <c r="H48" s="1"/>
      <c r="I48" s="19">
        <v>8034</v>
      </c>
      <c r="J48" s="19">
        <v>15</v>
      </c>
      <c r="K48" s="30">
        <v>373.5</v>
      </c>
      <c r="L48" s="30">
        <v>345.78</v>
      </c>
      <c r="M48" s="30">
        <v>719.28</v>
      </c>
      <c r="N48" s="34">
        <v>23.44</v>
      </c>
      <c r="O48" s="1"/>
      <c r="P48" s="35">
        <v>0</v>
      </c>
      <c r="Q48" s="31">
        <v>0</v>
      </c>
      <c r="R48" s="31">
        <v>0</v>
      </c>
      <c r="S48" s="1"/>
    </row>
    <row r="49" spans="1:19" ht="15" x14ac:dyDescent="0.35">
      <c r="A49" s="28">
        <v>8035</v>
      </c>
      <c r="B49" s="28">
        <v>15</v>
      </c>
      <c r="C49" s="29">
        <v>424.07</v>
      </c>
      <c r="D49" s="29">
        <v>312.83999999999997</v>
      </c>
      <c r="E49" s="29">
        <v>736.91</v>
      </c>
      <c r="F49" s="32" t="s">
        <v>6</v>
      </c>
      <c r="G49" s="33">
        <v>4.7697183000000001</v>
      </c>
      <c r="H49" s="1"/>
      <c r="I49" s="28">
        <v>8035</v>
      </c>
      <c r="J49" s="28">
        <v>15</v>
      </c>
      <c r="K49" s="29">
        <v>424.07</v>
      </c>
      <c r="L49" s="29">
        <v>312.83999999999997</v>
      </c>
      <c r="M49" s="29">
        <v>736.91</v>
      </c>
      <c r="N49" s="33">
        <v>22.22</v>
      </c>
      <c r="O49" s="1"/>
      <c r="P49" s="35">
        <v>0</v>
      </c>
      <c r="Q49" s="31">
        <v>0</v>
      </c>
      <c r="R49" s="31">
        <v>0</v>
      </c>
      <c r="S49" s="1"/>
    </row>
    <row r="50" spans="1:19" ht="15" x14ac:dyDescent="0.35">
      <c r="A50" s="19">
        <v>8036</v>
      </c>
      <c r="B50" s="19">
        <v>20</v>
      </c>
      <c r="C50" s="30">
        <v>687.34</v>
      </c>
      <c r="D50" s="30">
        <v>672.96</v>
      </c>
      <c r="E50" s="30">
        <v>1360.3000000000002</v>
      </c>
      <c r="F50" s="32" t="s">
        <v>6</v>
      </c>
      <c r="G50" s="34">
        <v>232.95405410000001</v>
      </c>
      <c r="H50" s="1"/>
      <c r="I50" s="19">
        <v>8036</v>
      </c>
      <c r="J50" s="19">
        <v>20</v>
      </c>
      <c r="K50" s="30">
        <v>687.34</v>
      </c>
      <c r="L50" s="30">
        <v>672.96</v>
      </c>
      <c r="M50" s="30">
        <v>1360.3</v>
      </c>
      <c r="N50" s="34">
        <v>24.94</v>
      </c>
      <c r="O50" s="1"/>
      <c r="P50" s="35">
        <v>-1.6714965481381463E-16</v>
      </c>
      <c r="Q50" s="31">
        <v>0</v>
      </c>
      <c r="R50" s="31">
        <v>0</v>
      </c>
      <c r="S50" s="1"/>
    </row>
    <row r="51" spans="1:19" ht="15" x14ac:dyDescent="0.35">
      <c r="A51" s="28">
        <v>8037</v>
      </c>
      <c r="B51" s="28">
        <v>20</v>
      </c>
      <c r="C51" s="29">
        <v>407.81</v>
      </c>
      <c r="D51" s="29">
        <v>384.49</v>
      </c>
      <c r="E51" s="29">
        <v>792.3</v>
      </c>
      <c r="F51" s="32" t="s">
        <v>6</v>
      </c>
      <c r="G51" s="33">
        <v>121.447964</v>
      </c>
      <c r="H51" s="1"/>
      <c r="I51" s="28">
        <v>8037</v>
      </c>
      <c r="J51" s="28">
        <v>20</v>
      </c>
      <c r="K51" s="29">
        <v>407.81</v>
      </c>
      <c r="L51" s="29">
        <v>384.49</v>
      </c>
      <c r="M51" s="29">
        <v>792.3</v>
      </c>
      <c r="N51" s="33">
        <v>33.83</v>
      </c>
      <c r="O51" s="1"/>
      <c r="P51" s="35">
        <v>0</v>
      </c>
      <c r="Q51" s="31">
        <v>0</v>
      </c>
      <c r="R51" s="31">
        <v>0</v>
      </c>
      <c r="S51" s="1"/>
    </row>
    <row r="52" spans="1:19" ht="15" x14ac:dyDescent="0.35">
      <c r="A52" s="19">
        <v>8038</v>
      </c>
      <c r="B52" s="19">
        <v>20</v>
      </c>
      <c r="C52" s="30">
        <v>509.45</v>
      </c>
      <c r="D52" s="30">
        <v>533.34</v>
      </c>
      <c r="E52" s="30">
        <v>1042.79</v>
      </c>
      <c r="F52" s="32" t="s">
        <v>6</v>
      </c>
      <c r="G52" s="34">
        <v>56.497951700000002</v>
      </c>
      <c r="H52" s="1"/>
      <c r="I52" s="19">
        <v>8038</v>
      </c>
      <c r="J52" s="19">
        <v>20</v>
      </c>
      <c r="K52" s="30">
        <v>509.45</v>
      </c>
      <c r="L52" s="30">
        <v>533.34</v>
      </c>
      <c r="M52" s="30">
        <v>1042.79</v>
      </c>
      <c r="N52" s="34">
        <v>30.76</v>
      </c>
      <c r="O52" s="1"/>
      <c r="P52" s="35">
        <v>0</v>
      </c>
      <c r="Q52" s="31">
        <v>0</v>
      </c>
      <c r="R52" s="31">
        <v>0</v>
      </c>
      <c r="S52" s="1"/>
    </row>
    <row r="53" spans="1:19" ht="15" x14ac:dyDescent="0.35">
      <c r="A53" s="28">
        <v>8039</v>
      </c>
      <c r="B53" s="28">
        <v>20</v>
      </c>
      <c r="C53" s="29">
        <v>467.17</v>
      </c>
      <c r="D53" s="29">
        <v>403.57</v>
      </c>
      <c r="E53" s="29">
        <v>870.74</v>
      </c>
      <c r="F53" s="32" t="s">
        <v>6</v>
      </c>
      <c r="G53" s="33">
        <v>543.87241849999998</v>
      </c>
      <c r="H53" s="1"/>
      <c r="I53" s="28">
        <v>8039</v>
      </c>
      <c r="J53" s="28">
        <v>20</v>
      </c>
      <c r="K53" s="29">
        <v>467.17</v>
      </c>
      <c r="L53" s="29">
        <v>403.57</v>
      </c>
      <c r="M53" s="29">
        <v>870.74</v>
      </c>
      <c r="N53" s="33">
        <v>32.57</v>
      </c>
      <c r="O53" s="1"/>
      <c r="P53" s="35">
        <v>0</v>
      </c>
      <c r="Q53" s="31">
        <v>0</v>
      </c>
      <c r="R53" s="31">
        <v>0</v>
      </c>
      <c r="S53" s="1"/>
    </row>
    <row r="54" spans="1:19" ht="15" x14ac:dyDescent="0.35">
      <c r="A54" s="19">
        <v>8040</v>
      </c>
      <c r="B54" s="19">
        <v>20</v>
      </c>
      <c r="C54" s="30">
        <v>518.70000000000005</v>
      </c>
      <c r="D54" s="30">
        <v>459.83</v>
      </c>
      <c r="E54" s="30">
        <v>978.53</v>
      </c>
      <c r="F54" s="32" t="s">
        <v>6</v>
      </c>
      <c r="G54" s="34">
        <v>1171.6015744000001</v>
      </c>
      <c r="H54" s="1"/>
      <c r="I54" s="19">
        <v>8040</v>
      </c>
      <c r="J54" s="19">
        <v>20</v>
      </c>
      <c r="K54" s="30">
        <v>518.70000000000005</v>
      </c>
      <c r="L54" s="30">
        <v>459.83</v>
      </c>
      <c r="M54" s="30">
        <v>978.53</v>
      </c>
      <c r="N54" s="34">
        <v>30.47</v>
      </c>
      <c r="O54" s="1"/>
      <c r="P54" s="35">
        <v>0</v>
      </c>
      <c r="Q54" s="31">
        <v>0</v>
      </c>
      <c r="R54" s="31">
        <v>0</v>
      </c>
      <c r="S54" s="1"/>
    </row>
    <row r="55" spans="1:19" ht="15" x14ac:dyDescent="0.35">
      <c r="A55" s="28">
        <v>8041</v>
      </c>
      <c r="B55" s="28">
        <v>25</v>
      </c>
      <c r="C55" s="29">
        <v>506.93</v>
      </c>
      <c r="D55" s="29">
        <v>367.26</v>
      </c>
      <c r="E55" s="29">
        <v>874.19</v>
      </c>
      <c r="F55" s="32" t="s">
        <v>6</v>
      </c>
      <c r="G55" s="33">
        <v>101.2340633</v>
      </c>
      <c r="H55" s="1"/>
      <c r="I55" s="28">
        <v>8041</v>
      </c>
      <c r="J55" s="28">
        <v>25</v>
      </c>
      <c r="K55" s="29">
        <v>506.93</v>
      </c>
      <c r="L55" s="29">
        <v>367.26</v>
      </c>
      <c r="M55" s="29">
        <v>874.19</v>
      </c>
      <c r="N55" s="33">
        <v>40.14</v>
      </c>
      <c r="O55" s="1"/>
      <c r="P55" s="35">
        <v>0</v>
      </c>
      <c r="Q55" s="31">
        <v>0</v>
      </c>
      <c r="R55" s="31">
        <v>0</v>
      </c>
      <c r="S55" s="1"/>
    </row>
    <row r="56" spans="1:19" ht="15" x14ac:dyDescent="0.35">
      <c r="A56" s="19">
        <v>8042</v>
      </c>
      <c r="B56" s="19">
        <v>25</v>
      </c>
      <c r="C56" s="30">
        <v>477.23</v>
      </c>
      <c r="D56" s="30">
        <v>510.38</v>
      </c>
      <c r="E56" s="30">
        <v>987.61</v>
      </c>
      <c r="F56" s="32" t="s">
        <v>6</v>
      </c>
      <c r="G56" s="34">
        <v>2985.3204886999997</v>
      </c>
      <c r="H56" s="1"/>
      <c r="I56" s="19">
        <v>8042</v>
      </c>
      <c r="J56" s="19">
        <v>25</v>
      </c>
      <c r="K56" s="30">
        <v>477.23</v>
      </c>
      <c r="L56" s="30">
        <v>510.38</v>
      </c>
      <c r="M56" s="30">
        <v>987.61</v>
      </c>
      <c r="N56" s="34">
        <v>42.17</v>
      </c>
      <c r="O56" s="1"/>
      <c r="P56" s="35">
        <v>0</v>
      </c>
      <c r="Q56" s="31">
        <v>0</v>
      </c>
      <c r="R56" s="31">
        <v>0</v>
      </c>
      <c r="S56" s="1"/>
    </row>
    <row r="57" spans="1:19" ht="15" x14ac:dyDescent="0.35">
      <c r="A57" s="28">
        <v>8043</v>
      </c>
      <c r="B57" s="28">
        <v>25</v>
      </c>
      <c r="C57" s="29">
        <v>438.12</v>
      </c>
      <c r="D57" s="29">
        <v>585.12</v>
      </c>
      <c r="E57" s="29">
        <v>1023.24</v>
      </c>
      <c r="F57" s="20" t="s">
        <v>7</v>
      </c>
      <c r="G57" s="33">
        <v>7213.7876388000004</v>
      </c>
      <c r="H57" s="1"/>
      <c r="I57" s="28">
        <v>8043</v>
      </c>
      <c r="J57" s="28">
        <v>25</v>
      </c>
      <c r="K57" s="29">
        <v>438.12</v>
      </c>
      <c r="L57" s="29">
        <v>585.12</v>
      </c>
      <c r="M57" s="29">
        <v>1023.24</v>
      </c>
      <c r="N57" s="33">
        <v>36.58</v>
      </c>
      <c r="O57" s="1"/>
      <c r="P57" s="35">
        <v>0</v>
      </c>
      <c r="Q57" s="31">
        <v>0</v>
      </c>
      <c r="R57" s="31">
        <v>0</v>
      </c>
      <c r="S57" s="1"/>
    </row>
    <row r="58" spans="1:19" ht="15" x14ac:dyDescent="0.35">
      <c r="A58" s="19">
        <v>8044</v>
      </c>
      <c r="B58" s="19">
        <v>25</v>
      </c>
      <c r="C58" s="30">
        <v>558.42999999999995</v>
      </c>
      <c r="D58" s="30">
        <v>546.69000000000005</v>
      </c>
      <c r="E58" s="30">
        <v>1105.1199999999999</v>
      </c>
      <c r="F58" s="32" t="s">
        <v>6</v>
      </c>
      <c r="G58" s="34">
        <v>1116.1496634999999</v>
      </c>
      <c r="H58" s="1"/>
      <c r="I58" s="19">
        <v>8044</v>
      </c>
      <c r="J58" s="19">
        <v>25</v>
      </c>
      <c r="K58" s="30">
        <v>558.65</v>
      </c>
      <c r="L58" s="30">
        <v>546.69000000000005</v>
      </c>
      <c r="M58" s="30">
        <v>1105.3399999999999</v>
      </c>
      <c r="N58" s="34">
        <v>44.04</v>
      </c>
      <c r="O58" s="1"/>
      <c r="P58" s="35">
        <v>1.9907340379327792E-4</v>
      </c>
      <c r="Q58" s="31">
        <v>3.9396164246195101E-4</v>
      </c>
      <c r="R58" s="31">
        <v>0</v>
      </c>
      <c r="S58" s="1"/>
    </row>
    <row r="59" spans="1:19" ht="15" x14ac:dyDescent="0.35">
      <c r="A59" s="28">
        <v>8045</v>
      </c>
      <c r="B59" s="28">
        <v>25</v>
      </c>
      <c r="C59" s="29">
        <v>523.95000000000005</v>
      </c>
      <c r="D59" s="29">
        <v>501.22</v>
      </c>
      <c r="E59" s="29">
        <v>1025.17</v>
      </c>
      <c r="F59" s="32" t="s">
        <v>6</v>
      </c>
      <c r="G59" s="33">
        <v>586.13141089999999</v>
      </c>
      <c r="H59" s="1"/>
      <c r="I59" s="28">
        <v>8045</v>
      </c>
      <c r="J59" s="28">
        <v>25</v>
      </c>
      <c r="K59" s="29">
        <v>523.95000000000005</v>
      </c>
      <c r="L59" s="29">
        <v>505.14</v>
      </c>
      <c r="M59" s="29">
        <v>1029.0899999999999</v>
      </c>
      <c r="N59" s="33">
        <v>45.93</v>
      </c>
      <c r="O59" s="1"/>
      <c r="P59" s="35">
        <v>3.8237560599703904E-3</v>
      </c>
      <c r="Q59" s="31">
        <v>0</v>
      </c>
      <c r="R59" s="31">
        <v>7.820916962611146E-3</v>
      </c>
      <c r="S59" s="1"/>
    </row>
    <row r="60" spans="1:19" ht="15" x14ac:dyDescent="0.35">
      <c r="A60" s="19">
        <v>8046</v>
      </c>
      <c r="B60" s="19">
        <v>30</v>
      </c>
      <c r="C60" s="30">
        <v>980.3</v>
      </c>
      <c r="D60" s="30">
        <v>929.93</v>
      </c>
      <c r="E60" s="30">
        <v>1910.23</v>
      </c>
      <c r="F60" s="20" t="s">
        <v>7</v>
      </c>
      <c r="G60" s="34">
        <v>14401.940464899999</v>
      </c>
      <c r="H60" s="1"/>
      <c r="I60" s="19">
        <v>8046</v>
      </c>
      <c r="J60" s="19">
        <v>30</v>
      </c>
      <c r="K60" s="30">
        <v>980.83</v>
      </c>
      <c r="L60" s="30">
        <v>940.03</v>
      </c>
      <c r="M60" s="30">
        <v>1920.86</v>
      </c>
      <c r="N60" s="34">
        <v>53.57</v>
      </c>
      <c r="O60" s="1"/>
      <c r="P60" s="35">
        <v>5.5647749223914824E-3</v>
      </c>
      <c r="Q60" s="31">
        <v>5.4065082117727879E-4</v>
      </c>
      <c r="R60" s="31">
        <v>1.0861032550837185E-2</v>
      </c>
      <c r="S60" s="1"/>
    </row>
    <row r="61" spans="1:19" ht="15" x14ac:dyDescent="0.35">
      <c r="A61" s="28">
        <v>8047</v>
      </c>
      <c r="B61" s="28">
        <v>30</v>
      </c>
      <c r="C61" s="29">
        <v>482.38</v>
      </c>
      <c r="D61" s="29">
        <v>471.59</v>
      </c>
      <c r="E61" s="29">
        <v>953.97</v>
      </c>
      <c r="F61" s="20" t="s">
        <v>7</v>
      </c>
      <c r="G61" s="33">
        <v>7885.0293517999999</v>
      </c>
      <c r="H61" s="1"/>
      <c r="I61" s="28">
        <v>8047</v>
      </c>
      <c r="J61" s="28">
        <v>30</v>
      </c>
      <c r="K61" s="29">
        <v>482.38</v>
      </c>
      <c r="L61" s="29">
        <v>471.59</v>
      </c>
      <c r="M61" s="29">
        <v>953.97</v>
      </c>
      <c r="N61" s="33">
        <v>57.29</v>
      </c>
      <c r="O61" s="1"/>
      <c r="P61" s="35">
        <v>0</v>
      </c>
      <c r="Q61" s="31">
        <v>0</v>
      </c>
      <c r="R61" s="31">
        <v>0</v>
      </c>
      <c r="S61" s="1"/>
    </row>
    <row r="62" spans="1:19" ht="15" x14ac:dyDescent="0.35">
      <c r="A62" s="19">
        <v>8048</v>
      </c>
      <c r="B62" s="19">
        <v>30</v>
      </c>
      <c r="C62" s="30">
        <v>688.72</v>
      </c>
      <c r="D62" s="30">
        <v>688.38</v>
      </c>
      <c r="E62" s="30">
        <v>1377.1</v>
      </c>
      <c r="F62" s="20" t="s">
        <v>7</v>
      </c>
      <c r="G62" s="34">
        <v>14403.3415895</v>
      </c>
      <c r="H62" s="1"/>
      <c r="I62" s="19">
        <v>8048</v>
      </c>
      <c r="J62" s="19">
        <v>30</v>
      </c>
      <c r="K62" s="30">
        <v>688.72</v>
      </c>
      <c r="L62" s="30">
        <v>708.2</v>
      </c>
      <c r="M62" s="30">
        <v>1396.92</v>
      </c>
      <c r="N62" s="34">
        <v>61.91</v>
      </c>
      <c r="O62" s="1"/>
      <c r="P62" s="35">
        <v>1.4392564083944641E-2</v>
      </c>
      <c r="Q62" s="31">
        <v>0</v>
      </c>
      <c r="R62" s="31">
        <v>2.8792236845928194E-2</v>
      </c>
      <c r="S62" s="1"/>
    </row>
    <row r="63" spans="1:19" ht="15" x14ac:dyDescent="0.35">
      <c r="A63" s="28">
        <v>8049</v>
      </c>
      <c r="B63" s="28">
        <v>30</v>
      </c>
      <c r="C63" s="29">
        <v>521.02</v>
      </c>
      <c r="D63" s="29">
        <v>620.54999999999995</v>
      </c>
      <c r="E63" s="29">
        <v>1141.57</v>
      </c>
      <c r="F63" s="20" t="s">
        <v>7</v>
      </c>
      <c r="G63" s="33">
        <v>9588.6231356999997</v>
      </c>
      <c r="H63" s="1"/>
      <c r="I63" s="28">
        <v>8049</v>
      </c>
      <c r="J63" s="28">
        <v>30</v>
      </c>
      <c r="K63" s="29">
        <v>521.02</v>
      </c>
      <c r="L63" s="29">
        <v>620.54999999999995</v>
      </c>
      <c r="M63" s="29">
        <v>1141.57</v>
      </c>
      <c r="N63" s="33">
        <v>66.44</v>
      </c>
      <c r="O63" s="1"/>
      <c r="P63" s="35">
        <v>0</v>
      </c>
      <c r="Q63" s="31">
        <v>0</v>
      </c>
      <c r="R63" s="31">
        <v>0</v>
      </c>
      <c r="S63" s="1"/>
    </row>
    <row r="64" spans="1:19" ht="15" x14ac:dyDescent="0.35">
      <c r="A64" s="19">
        <v>8050</v>
      </c>
      <c r="B64" s="19">
        <v>30</v>
      </c>
      <c r="C64" s="30">
        <v>636.58000000000004</v>
      </c>
      <c r="D64" s="30">
        <v>526.04</v>
      </c>
      <c r="E64" s="30">
        <v>1162.6199999999999</v>
      </c>
      <c r="F64" s="20" t="s">
        <v>7</v>
      </c>
      <c r="G64" s="34">
        <v>7930.2537491000003</v>
      </c>
      <c r="H64" s="1"/>
      <c r="I64" s="19">
        <v>8050</v>
      </c>
      <c r="J64" s="19">
        <v>30</v>
      </c>
      <c r="K64" s="30">
        <v>642.45000000000005</v>
      </c>
      <c r="L64" s="30">
        <v>526.04</v>
      </c>
      <c r="M64" s="30">
        <v>1168.49</v>
      </c>
      <c r="N64" s="34">
        <v>64.38</v>
      </c>
      <c r="O64" s="1"/>
      <c r="P64" s="35">
        <v>5.0489411845659965E-3</v>
      </c>
      <c r="Q64" s="31">
        <v>9.2211505231078635E-3</v>
      </c>
      <c r="R64" s="31">
        <v>0</v>
      </c>
      <c r="S64" s="1"/>
    </row>
    <row r="65" spans="1:19" ht="15" x14ac:dyDescent="0.35">
      <c r="A65" s="28">
        <v>8051</v>
      </c>
      <c r="B65" s="28">
        <v>10</v>
      </c>
      <c r="C65" s="29">
        <v>202.81</v>
      </c>
      <c r="D65" s="29">
        <v>263.29000000000002</v>
      </c>
      <c r="E65" s="29">
        <v>466.1</v>
      </c>
      <c r="F65" s="32" t="s">
        <v>6</v>
      </c>
      <c r="G65" s="33">
        <v>5.0711607000000001</v>
      </c>
      <c r="H65" s="1"/>
      <c r="I65" s="28">
        <v>8051</v>
      </c>
      <c r="J65" s="28">
        <v>10</v>
      </c>
      <c r="K65" s="29">
        <v>202.81</v>
      </c>
      <c r="L65" s="29">
        <v>263.29000000000002</v>
      </c>
      <c r="M65" s="29">
        <v>466.1</v>
      </c>
      <c r="N65" s="33">
        <v>16.78</v>
      </c>
      <c r="O65" s="1"/>
      <c r="P65" s="35">
        <v>0</v>
      </c>
      <c r="Q65" s="31">
        <v>0</v>
      </c>
      <c r="R65" s="31">
        <v>0</v>
      </c>
      <c r="S65" s="1"/>
    </row>
    <row r="66" spans="1:19" ht="15" x14ac:dyDescent="0.35">
      <c r="A66" s="19">
        <v>8052</v>
      </c>
      <c r="B66" s="19">
        <v>10</v>
      </c>
      <c r="C66" s="30">
        <v>231.87</v>
      </c>
      <c r="D66" s="30">
        <v>265.77</v>
      </c>
      <c r="E66" s="30">
        <v>497.64</v>
      </c>
      <c r="F66" s="32" t="s">
        <v>6</v>
      </c>
      <c r="G66" s="34">
        <v>0.53688060000000004</v>
      </c>
      <c r="H66" s="1"/>
      <c r="I66" s="19">
        <v>8052</v>
      </c>
      <c r="J66" s="19">
        <v>10</v>
      </c>
      <c r="K66" s="30">
        <v>231.87</v>
      </c>
      <c r="L66" s="30">
        <v>265.77</v>
      </c>
      <c r="M66" s="30">
        <v>497.64</v>
      </c>
      <c r="N66" s="34">
        <v>16.82</v>
      </c>
      <c r="O66" s="1"/>
      <c r="P66" s="35">
        <v>0</v>
      </c>
      <c r="Q66" s="31">
        <v>0</v>
      </c>
      <c r="R66" s="31">
        <v>0</v>
      </c>
      <c r="S66" s="1"/>
    </row>
    <row r="67" spans="1:19" ht="15" x14ac:dyDescent="0.35">
      <c r="A67" s="28">
        <v>8053</v>
      </c>
      <c r="B67" s="28">
        <v>10</v>
      </c>
      <c r="C67" s="29">
        <v>205</v>
      </c>
      <c r="D67" s="29">
        <v>235.49</v>
      </c>
      <c r="E67" s="29">
        <v>440.49</v>
      </c>
      <c r="F67" s="32" t="s">
        <v>6</v>
      </c>
      <c r="G67" s="33">
        <v>0.80861770000000011</v>
      </c>
      <c r="H67" s="1"/>
      <c r="I67" s="28">
        <v>8053</v>
      </c>
      <c r="J67" s="28">
        <v>10</v>
      </c>
      <c r="K67" s="29">
        <v>205</v>
      </c>
      <c r="L67" s="29">
        <v>235.49</v>
      </c>
      <c r="M67" s="29">
        <v>440.49</v>
      </c>
      <c r="N67" s="33">
        <v>18.010000000000002</v>
      </c>
      <c r="O67" s="1"/>
      <c r="P67" s="35">
        <v>0</v>
      </c>
      <c r="Q67" s="31">
        <v>0</v>
      </c>
      <c r="R67" s="31">
        <v>0</v>
      </c>
      <c r="S67" s="1"/>
    </row>
    <row r="68" spans="1:19" ht="15" x14ac:dyDescent="0.35">
      <c r="A68" s="19">
        <v>8054</v>
      </c>
      <c r="B68" s="19">
        <v>10</v>
      </c>
      <c r="C68" s="30">
        <v>177.78</v>
      </c>
      <c r="D68" s="30">
        <v>265.38</v>
      </c>
      <c r="E68" s="30">
        <v>443.15999999999997</v>
      </c>
      <c r="F68" s="32" t="s">
        <v>6</v>
      </c>
      <c r="G68" s="34">
        <v>0.37375970000000003</v>
      </c>
      <c r="H68" s="1"/>
      <c r="I68" s="19">
        <v>8054</v>
      </c>
      <c r="J68" s="19">
        <v>10</v>
      </c>
      <c r="K68" s="30">
        <v>177.78</v>
      </c>
      <c r="L68" s="30">
        <v>265.38</v>
      </c>
      <c r="M68" s="30">
        <v>443.16</v>
      </c>
      <c r="N68" s="34">
        <v>16.54</v>
      </c>
      <c r="O68" s="1"/>
      <c r="P68" s="35">
        <v>1.2826838807836452E-16</v>
      </c>
      <c r="Q68" s="31">
        <v>0</v>
      </c>
      <c r="R68" s="31">
        <v>0</v>
      </c>
      <c r="S68" s="1"/>
    </row>
    <row r="69" spans="1:19" ht="15" x14ac:dyDescent="0.35">
      <c r="A69" s="28">
        <v>8055</v>
      </c>
      <c r="B69" s="28">
        <v>10</v>
      </c>
      <c r="C69" s="29">
        <v>174.91</v>
      </c>
      <c r="D69" s="29">
        <v>215.76</v>
      </c>
      <c r="E69" s="29">
        <v>390.66999999999996</v>
      </c>
      <c r="F69" s="32" t="s">
        <v>6</v>
      </c>
      <c r="G69" s="33">
        <v>0.43728120000000004</v>
      </c>
      <c r="H69" s="1"/>
      <c r="I69" s="28">
        <v>8055</v>
      </c>
      <c r="J69" s="28">
        <v>10</v>
      </c>
      <c r="K69" s="29">
        <v>174.91</v>
      </c>
      <c r="L69" s="29">
        <v>215.76</v>
      </c>
      <c r="M69" s="29">
        <v>390.67</v>
      </c>
      <c r="N69" s="33">
        <v>16.22</v>
      </c>
      <c r="O69" s="1"/>
      <c r="P69" s="35">
        <v>1.4550239040829349E-16</v>
      </c>
      <c r="Q69" s="31">
        <v>0</v>
      </c>
      <c r="R69" s="31">
        <v>0</v>
      </c>
      <c r="S69" s="1"/>
    </row>
    <row r="70" spans="1:19" ht="15" x14ac:dyDescent="0.35">
      <c r="A70" s="19">
        <v>8056</v>
      </c>
      <c r="B70" s="19">
        <v>15</v>
      </c>
      <c r="C70" s="30">
        <v>286.07</v>
      </c>
      <c r="D70" s="30">
        <v>377</v>
      </c>
      <c r="E70" s="30">
        <v>663.06999999999994</v>
      </c>
      <c r="F70" s="32" t="s">
        <v>6</v>
      </c>
      <c r="G70" s="34">
        <v>22.442700899999998</v>
      </c>
      <c r="H70" s="1"/>
      <c r="I70" s="19">
        <v>8056</v>
      </c>
      <c r="J70" s="19">
        <v>15</v>
      </c>
      <c r="K70" s="30">
        <v>286.07</v>
      </c>
      <c r="L70" s="30">
        <v>377</v>
      </c>
      <c r="M70" s="30">
        <v>663.07</v>
      </c>
      <c r="N70" s="34">
        <v>19.16</v>
      </c>
      <c r="O70" s="1"/>
      <c r="P70" s="35">
        <v>1.7145525769770318E-16</v>
      </c>
      <c r="Q70" s="31">
        <v>0</v>
      </c>
      <c r="R70" s="31">
        <v>0</v>
      </c>
      <c r="S70" s="1"/>
    </row>
    <row r="71" spans="1:19" ht="15" x14ac:dyDescent="0.35">
      <c r="A71" s="28">
        <v>8057</v>
      </c>
      <c r="B71" s="28">
        <v>15</v>
      </c>
      <c r="C71" s="29">
        <v>205.48</v>
      </c>
      <c r="D71" s="29">
        <v>242.79</v>
      </c>
      <c r="E71" s="29">
        <v>448.27</v>
      </c>
      <c r="F71" s="32" t="s">
        <v>6</v>
      </c>
      <c r="G71" s="33">
        <v>15.2322258</v>
      </c>
      <c r="H71" s="1"/>
      <c r="I71" s="28">
        <v>8057</v>
      </c>
      <c r="J71" s="28">
        <v>15</v>
      </c>
      <c r="K71" s="29">
        <v>205.48</v>
      </c>
      <c r="L71" s="29">
        <v>242.79</v>
      </c>
      <c r="M71" s="29">
        <v>448.27</v>
      </c>
      <c r="N71" s="33">
        <v>28.24</v>
      </c>
      <c r="O71" s="1"/>
      <c r="P71" s="35">
        <v>0</v>
      </c>
      <c r="Q71" s="31">
        <v>0</v>
      </c>
      <c r="R71" s="31">
        <v>0</v>
      </c>
      <c r="S71" s="1"/>
    </row>
    <row r="72" spans="1:19" ht="15" x14ac:dyDescent="0.35">
      <c r="A72" s="19">
        <v>8058</v>
      </c>
      <c r="B72" s="19">
        <v>15</v>
      </c>
      <c r="C72" s="30">
        <v>224.31</v>
      </c>
      <c r="D72" s="30">
        <v>222.58</v>
      </c>
      <c r="E72" s="30">
        <v>446.89</v>
      </c>
      <c r="F72" s="32" t="s">
        <v>6</v>
      </c>
      <c r="G72" s="34">
        <v>2.1264497000000002</v>
      </c>
      <c r="H72" s="1"/>
      <c r="I72" s="19">
        <v>8058</v>
      </c>
      <c r="J72" s="19">
        <v>15</v>
      </c>
      <c r="K72" s="30">
        <v>224.31</v>
      </c>
      <c r="L72" s="30">
        <v>222.58</v>
      </c>
      <c r="M72" s="30">
        <v>446.89</v>
      </c>
      <c r="N72" s="34">
        <v>23.58</v>
      </c>
      <c r="O72" s="1"/>
      <c r="P72" s="35">
        <v>0</v>
      </c>
      <c r="Q72" s="31">
        <v>0</v>
      </c>
      <c r="R72" s="31">
        <v>0</v>
      </c>
      <c r="S72" s="1"/>
    </row>
    <row r="73" spans="1:19" ht="15" x14ac:dyDescent="0.35">
      <c r="A73" s="28">
        <v>8059</v>
      </c>
      <c r="B73" s="28">
        <v>15</v>
      </c>
      <c r="C73" s="29">
        <v>205.21</v>
      </c>
      <c r="D73" s="29">
        <v>200.73</v>
      </c>
      <c r="E73" s="29">
        <v>405.94</v>
      </c>
      <c r="F73" s="32" t="s">
        <v>6</v>
      </c>
      <c r="G73" s="33">
        <v>1.9860277</v>
      </c>
      <c r="H73" s="1"/>
      <c r="I73" s="28">
        <v>8059</v>
      </c>
      <c r="J73" s="28">
        <v>15</v>
      </c>
      <c r="K73" s="29">
        <v>205.21</v>
      </c>
      <c r="L73" s="29">
        <v>200.73</v>
      </c>
      <c r="M73" s="29">
        <v>405.94</v>
      </c>
      <c r="N73" s="33">
        <v>23.46</v>
      </c>
      <c r="O73" s="1"/>
      <c r="P73" s="35">
        <v>0</v>
      </c>
      <c r="Q73" s="31">
        <v>0</v>
      </c>
      <c r="R73" s="31">
        <v>0</v>
      </c>
      <c r="S73" s="1"/>
    </row>
    <row r="74" spans="1:19" ht="15" x14ac:dyDescent="0.35">
      <c r="A74" s="19">
        <v>8060</v>
      </c>
      <c r="B74" s="19">
        <v>15</v>
      </c>
      <c r="C74" s="30">
        <v>202.26</v>
      </c>
      <c r="D74" s="30">
        <v>225.3</v>
      </c>
      <c r="E74" s="30">
        <v>427.56</v>
      </c>
      <c r="F74" s="32" t="s">
        <v>6</v>
      </c>
      <c r="G74" s="34">
        <v>2.9771263000000001</v>
      </c>
      <c r="H74" s="1"/>
      <c r="I74" s="19">
        <v>8060</v>
      </c>
      <c r="J74" s="19">
        <v>15</v>
      </c>
      <c r="K74" s="30">
        <v>202.26</v>
      </c>
      <c r="L74" s="30">
        <v>225.3</v>
      </c>
      <c r="M74" s="30">
        <v>427.56</v>
      </c>
      <c r="N74" s="34">
        <v>25.27</v>
      </c>
      <c r="O74" s="1"/>
      <c r="P74" s="35">
        <v>0</v>
      </c>
      <c r="Q74" s="31">
        <v>0</v>
      </c>
      <c r="R74" s="31">
        <v>0</v>
      </c>
      <c r="S74" s="1"/>
    </row>
    <row r="75" spans="1:19" ht="15" x14ac:dyDescent="0.35">
      <c r="A75" s="28">
        <v>8061</v>
      </c>
      <c r="B75" s="28">
        <v>20</v>
      </c>
      <c r="C75" s="29">
        <v>230.46</v>
      </c>
      <c r="D75" s="29">
        <v>404.3</v>
      </c>
      <c r="E75" s="29">
        <v>634.76</v>
      </c>
      <c r="F75" s="32" t="s">
        <v>6</v>
      </c>
      <c r="G75" s="33">
        <v>1682.7743032000001</v>
      </c>
      <c r="H75" s="1"/>
      <c r="I75" s="28">
        <v>8061</v>
      </c>
      <c r="J75" s="28">
        <v>20</v>
      </c>
      <c r="K75" s="29">
        <v>230.46</v>
      </c>
      <c r="L75" s="29">
        <v>404.3</v>
      </c>
      <c r="M75" s="29">
        <v>634.76</v>
      </c>
      <c r="N75" s="33">
        <v>30.35</v>
      </c>
      <c r="O75" s="1"/>
      <c r="P75" s="35">
        <v>0</v>
      </c>
      <c r="Q75" s="31">
        <v>0</v>
      </c>
      <c r="R75" s="31">
        <v>0</v>
      </c>
      <c r="S75" s="1"/>
    </row>
    <row r="76" spans="1:19" ht="15" x14ac:dyDescent="0.35">
      <c r="A76" s="19">
        <v>8062</v>
      </c>
      <c r="B76" s="19">
        <v>20</v>
      </c>
      <c r="C76" s="30">
        <v>203.7</v>
      </c>
      <c r="D76" s="30">
        <v>347.98</v>
      </c>
      <c r="E76" s="30">
        <v>551.68000000000006</v>
      </c>
      <c r="F76" s="32" t="s">
        <v>6</v>
      </c>
      <c r="G76" s="34">
        <v>221.41223309999998</v>
      </c>
      <c r="H76" s="1"/>
      <c r="I76" s="19">
        <v>8062</v>
      </c>
      <c r="J76" s="19">
        <v>20</v>
      </c>
      <c r="K76" s="30">
        <v>203.7</v>
      </c>
      <c r="L76" s="30">
        <v>347.98</v>
      </c>
      <c r="M76" s="30">
        <v>551.67999999999995</v>
      </c>
      <c r="N76" s="34">
        <v>43.2</v>
      </c>
      <c r="O76" s="1"/>
      <c r="P76" s="35">
        <v>-2.0607387928077148E-16</v>
      </c>
      <c r="Q76" s="31">
        <v>0</v>
      </c>
      <c r="R76" s="31">
        <v>0</v>
      </c>
      <c r="S76" s="1"/>
    </row>
    <row r="77" spans="1:19" ht="15" x14ac:dyDescent="0.35">
      <c r="A77" s="28">
        <v>8063</v>
      </c>
      <c r="B77" s="28">
        <v>20</v>
      </c>
      <c r="C77" s="29">
        <v>276.75</v>
      </c>
      <c r="D77" s="29">
        <v>236.53</v>
      </c>
      <c r="E77" s="29">
        <v>513.28</v>
      </c>
      <c r="F77" s="32" t="s">
        <v>6</v>
      </c>
      <c r="G77" s="33">
        <v>11.108035000000001</v>
      </c>
      <c r="H77" s="1"/>
      <c r="I77" s="28">
        <v>8063</v>
      </c>
      <c r="J77" s="28">
        <v>20</v>
      </c>
      <c r="K77" s="29">
        <v>276.75</v>
      </c>
      <c r="L77" s="29">
        <v>236.53</v>
      </c>
      <c r="M77" s="29">
        <v>513.28</v>
      </c>
      <c r="N77" s="33">
        <v>41.05</v>
      </c>
      <c r="O77" s="1"/>
      <c r="P77" s="35">
        <v>0</v>
      </c>
      <c r="Q77" s="31">
        <v>0</v>
      </c>
      <c r="R77" s="31">
        <v>0</v>
      </c>
      <c r="S77" s="1"/>
    </row>
    <row r="78" spans="1:19" ht="15" x14ac:dyDescent="0.35">
      <c r="A78" s="19">
        <v>8064</v>
      </c>
      <c r="B78" s="19">
        <v>20</v>
      </c>
      <c r="C78" s="30">
        <v>290.62</v>
      </c>
      <c r="D78" s="30">
        <v>218.75</v>
      </c>
      <c r="E78" s="30">
        <v>509.37</v>
      </c>
      <c r="F78" s="32" t="s">
        <v>6</v>
      </c>
      <c r="G78" s="34">
        <v>67.670010199999993</v>
      </c>
      <c r="H78" s="1"/>
      <c r="I78" s="19">
        <v>8064</v>
      </c>
      <c r="J78" s="19">
        <v>20</v>
      </c>
      <c r="K78" s="30">
        <v>290.62</v>
      </c>
      <c r="L78" s="30">
        <v>218.75</v>
      </c>
      <c r="M78" s="30">
        <v>509.37</v>
      </c>
      <c r="N78" s="34">
        <v>39.619999999999997</v>
      </c>
      <c r="O78" s="1"/>
      <c r="P78" s="35">
        <v>0</v>
      </c>
      <c r="Q78" s="31">
        <v>0</v>
      </c>
      <c r="R78" s="31">
        <v>0</v>
      </c>
      <c r="S78" s="1"/>
    </row>
    <row r="79" spans="1:19" ht="15" x14ac:dyDescent="0.35">
      <c r="A79" s="28">
        <v>8065</v>
      </c>
      <c r="B79" s="28">
        <v>20</v>
      </c>
      <c r="C79" s="29">
        <v>246.26</v>
      </c>
      <c r="D79" s="29">
        <v>268.2</v>
      </c>
      <c r="E79" s="29">
        <v>514.46</v>
      </c>
      <c r="F79" s="32" t="s">
        <v>6</v>
      </c>
      <c r="G79" s="33">
        <v>9.5933758999999998</v>
      </c>
      <c r="H79" s="1"/>
      <c r="I79" s="28">
        <v>8065</v>
      </c>
      <c r="J79" s="28">
        <v>20</v>
      </c>
      <c r="K79" s="29">
        <v>246.26</v>
      </c>
      <c r="L79" s="29">
        <v>268.2</v>
      </c>
      <c r="M79" s="29">
        <v>514.46</v>
      </c>
      <c r="N79" s="33">
        <v>41.96</v>
      </c>
      <c r="O79" s="1"/>
      <c r="P79" s="35">
        <v>0</v>
      </c>
      <c r="Q79" s="31">
        <v>0</v>
      </c>
      <c r="R79" s="31">
        <v>0</v>
      </c>
      <c r="S79" s="1"/>
    </row>
    <row r="80" spans="1:19" ht="15" x14ac:dyDescent="0.35">
      <c r="A80" s="19">
        <v>8066</v>
      </c>
      <c r="B80" s="19">
        <v>25</v>
      </c>
      <c r="C80" s="30">
        <v>437.47</v>
      </c>
      <c r="D80" s="30">
        <v>483.97</v>
      </c>
      <c r="E80" s="30">
        <v>921.44</v>
      </c>
      <c r="F80" s="20" t="s">
        <v>7</v>
      </c>
      <c r="G80" s="34">
        <v>11539.717060300001</v>
      </c>
      <c r="H80" s="1"/>
      <c r="I80" s="19">
        <v>8066</v>
      </c>
      <c r="J80" s="19">
        <v>25</v>
      </c>
      <c r="K80" s="30">
        <v>442.66</v>
      </c>
      <c r="L80" s="30">
        <v>483.97</v>
      </c>
      <c r="M80" s="30">
        <v>926.63</v>
      </c>
      <c r="N80" s="34">
        <v>41.63</v>
      </c>
      <c r="O80" s="1"/>
      <c r="P80" s="35">
        <v>5.632488279215077E-3</v>
      </c>
      <c r="Q80" s="31">
        <v>1.1863670651701824E-2</v>
      </c>
      <c r="R80" s="31">
        <v>0</v>
      </c>
      <c r="S80" s="1"/>
    </row>
    <row r="81" spans="1:19" ht="15" x14ac:dyDescent="0.35">
      <c r="A81" s="28">
        <v>8067</v>
      </c>
      <c r="B81" s="28">
        <v>25</v>
      </c>
      <c r="C81" s="29">
        <v>415.08</v>
      </c>
      <c r="D81" s="29">
        <v>256.63</v>
      </c>
      <c r="E81" s="29">
        <v>671.71</v>
      </c>
      <c r="F81" s="20" t="s">
        <v>7</v>
      </c>
      <c r="G81" s="33">
        <v>7223.0708116999995</v>
      </c>
      <c r="H81" s="1"/>
      <c r="I81" s="28">
        <v>8067</v>
      </c>
      <c r="J81" s="28">
        <v>25</v>
      </c>
      <c r="K81" s="29">
        <v>415.08</v>
      </c>
      <c r="L81" s="29">
        <v>256.63</v>
      </c>
      <c r="M81" s="29">
        <v>671.71</v>
      </c>
      <c r="N81" s="33">
        <v>60.15</v>
      </c>
      <c r="O81" s="1"/>
      <c r="P81" s="35">
        <v>0</v>
      </c>
      <c r="Q81" s="31">
        <v>0</v>
      </c>
      <c r="R81" s="31">
        <v>0</v>
      </c>
      <c r="S81" s="1"/>
    </row>
    <row r="82" spans="1:19" ht="15" x14ac:dyDescent="0.35">
      <c r="A82" s="19">
        <v>8068</v>
      </c>
      <c r="B82" s="19">
        <v>25</v>
      </c>
      <c r="C82" s="30">
        <v>238.35</v>
      </c>
      <c r="D82" s="30">
        <v>252.5</v>
      </c>
      <c r="E82" s="30">
        <v>490.85</v>
      </c>
      <c r="F82" s="32" t="s">
        <v>6</v>
      </c>
      <c r="G82" s="34">
        <v>22.260294099999999</v>
      </c>
      <c r="H82" s="1"/>
      <c r="I82" s="19">
        <v>8068</v>
      </c>
      <c r="J82" s="19">
        <v>25</v>
      </c>
      <c r="K82" s="30">
        <v>238.35</v>
      </c>
      <c r="L82" s="30">
        <v>252.5</v>
      </c>
      <c r="M82" s="30">
        <v>490.85</v>
      </c>
      <c r="N82" s="34">
        <v>52.19</v>
      </c>
      <c r="O82" s="1"/>
      <c r="P82" s="35">
        <v>0</v>
      </c>
      <c r="Q82" s="31">
        <v>0</v>
      </c>
      <c r="R82" s="31">
        <v>0</v>
      </c>
      <c r="S82" s="1"/>
    </row>
    <row r="83" spans="1:19" ht="15" x14ac:dyDescent="0.35">
      <c r="A83" s="28">
        <v>8069</v>
      </c>
      <c r="B83" s="28">
        <v>25</v>
      </c>
      <c r="C83" s="29">
        <v>270.51</v>
      </c>
      <c r="D83" s="29">
        <v>210.64</v>
      </c>
      <c r="E83" s="29">
        <v>481.15</v>
      </c>
      <c r="F83" s="32" t="s">
        <v>6</v>
      </c>
      <c r="G83" s="33">
        <v>123.23427360000001</v>
      </c>
      <c r="H83" s="1"/>
      <c r="I83" s="28">
        <v>8069</v>
      </c>
      <c r="J83" s="28">
        <v>25</v>
      </c>
      <c r="K83" s="29">
        <v>270.51</v>
      </c>
      <c r="L83" s="29">
        <v>210.64</v>
      </c>
      <c r="M83" s="29">
        <v>481.15</v>
      </c>
      <c r="N83" s="33">
        <v>65.92</v>
      </c>
      <c r="O83" s="1"/>
      <c r="P83" s="35">
        <v>0</v>
      </c>
      <c r="Q83" s="31">
        <v>0</v>
      </c>
      <c r="R83" s="31">
        <v>0</v>
      </c>
      <c r="S83" s="1"/>
    </row>
    <row r="84" spans="1:19" ht="15" x14ac:dyDescent="0.35">
      <c r="A84" s="19">
        <v>8070</v>
      </c>
      <c r="B84" s="19">
        <v>25</v>
      </c>
      <c r="C84" s="30">
        <v>374.58</v>
      </c>
      <c r="D84" s="30">
        <v>240.02</v>
      </c>
      <c r="E84" s="30">
        <v>614.6</v>
      </c>
      <c r="F84" s="20" t="s">
        <v>7</v>
      </c>
      <c r="G84" s="34">
        <v>7206.5841938999993</v>
      </c>
      <c r="H84" s="1"/>
      <c r="I84" s="19">
        <v>8070</v>
      </c>
      <c r="J84" s="19">
        <v>25</v>
      </c>
      <c r="K84" s="30">
        <v>374.58</v>
      </c>
      <c r="L84" s="30">
        <v>240.02</v>
      </c>
      <c r="M84" s="30">
        <v>614.6</v>
      </c>
      <c r="N84" s="34">
        <v>48.09</v>
      </c>
      <c r="O84" s="1"/>
      <c r="P84" s="35">
        <v>0</v>
      </c>
      <c r="Q84" s="31">
        <v>0</v>
      </c>
      <c r="R84" s="31">
        <v>0</v>
      </c>
      <c r="S84" s="1"/>
    </row>
    <row r="85" spans="1:19" ht="15" x14ac:dyDescent="0.35">
      <c r="A85" s="28">
        <v>8071</v>
      </c>
      <c r="B85" s="28">
        <v>30</v>
      </c>
      <c r="C85" s="29">
        <v>515.84</v>
      </c>
      <c r="D85" s="29">
        <v>404.74</v>
      </c>
      <c r="E85" s="29">
        <v>920.58</v>
      </c>
      <c r="F85" s="20" t="s">
        <v>7</v>
      </c>
      <c r="G85" s="33">
        <v>8100.9177238000002</v>
      </c>
      <c r="H85" s="1"/>
      <c r="I85" s="28">
        <v>8071</v>
      </c>
      <c r="J85" s="28">
        <v>30</v>
      </c>
      <c r="K85" s="29">
        <v>516.85</v>
      </c>
      <c r="L85" s="29">
        <v>404.74</v>
      </c>
      <c r="M85" s="29">
        <v>921.59</v>
      </c>
      <c r="N85" s="33">
        <v>48.98</v>
      </c>
      <c r="O85" s="1"/>
      <c r="P85" s="35">
        <v>1.097134415259935E-3</v>
      </c>
      <c r="Q85" s="31">
        <v>1.9579714640198332E-3</v>
      </c>
      <c r="R85" s="31">
        <v>0</v>
      </c>
      <c r="S85" s="1"/>
    </row>
    <row r="86" spans="1:19" ht="15" x14ac:dyDescent="0.35">
      <c r="A86" s="19">
        <v>8072</v>
      </c>
      <c r="B86" s="19">
        <v>30</v>
      </c>
      <c r="C86" s="30">
        <v>424.38</v>
      </c>
      <c r="D86" s="30">
        <v>243.27</v>
      </c>
      <c r="E86" s="30">
        <v>667.65</v>
      </c>
      <c r="F86" s="20" t="s">
        <v>7</v>
      </c>
      <c r="G86" s="34">
        <v>7213.2722584999992</v>
      </c>
      <c r="H86" s="1"/>
      <c r="I86" s="19">
        <v>8072</v>
      </c>
      <c r="J86" s="19">
        <v>30</v>
      </c>
      <c r="K86" s="30">
        <v>424.38</v>
      </c>
      <c r="L86" s="30">
        <v>243.27</v>
      </c>
      <c r="M86" s="30">
        <v>667.65</v>
      </c>
      <c r="N86" s="34">
        <v>82.69</v>
      </c>
      <c r="O86" s="1"/>
      <c r="P86" s="35">
        <v>0</v>
      </c>
      <c r="Q86" s="31">
        <v>0</v>
      </c>
      <c r="R86" s="31">
        <v>0</v>
      </c>
      <c r="S86" s="1"/>
    </row>
    <row r="87" spans="1:19" ht="15" x14ac:dyDescent="0.35">
      <c r="A87" s="28">
        <v>8073</v>
      </c>
      <c r="B87" s="28">
        <v>30</v>
      </c>
      <c r="C87" s="29">
        <v>319.56</v>
      </c>
      <c r="D87" s="29">
        <v>277.77</v>
      </c>
      <c r="E87" s="29">
        <v>597.32999999999993</v>
      </c>
      <c r="F87" s="32" t="s">
        <v>6</v>
      </c>
      <c r="G87" s="33">
        <v>1875.8080268000001</v>
      </c>
      <c r="H87" s="1"/>
      <c r="I87" s="28">
        <v>8073</v>
      </c>
      <c r="J87" s="28">
        <v>30</v>
      </c>
      <c r="K87" s="29">
        <v>319.56</v>
      </c>
      <c r="L87" s="29">
        <v>277.77</v>
      </c>
      <c r="M87" s="29">
        <v>597.33000000000004</v>
      </c>
      <c r="N87" s="33">
        <v>73.010000000000005</v>
      </c>
      <c r="O87" s="1"/>
      <c r="P87" s="35">
        <v>1.9032500916012261E-16</v>
      </c>
      <c r="Q87" s="31">
        <v>0</v>
      </c>
      <c r="R87" s="31">
        <v>0</v>
      </c>
      <c r="S87" s="1"/>
    </row>
    <row r="88" spans="1:19" ht="15" x14ac:dyDescent="0.35">
      <c r="A88" s="19">
        <v>8074</v>
      </c>
      <c r="B88" s="19">
        <v>30</v>
      </c>
      <c r="C88" s="30">
        <v>389.71</v>
      </c>
      <c r="D88" s="30">
        <v>249.46</v>
      </c>
      <c r="E88" s="30">
        <v>639.16999999999996</v>
      </c>
      <c r="F88" s="20" t="s">
        <v>7</v>
      </c>
      <c r="G88" s="34">
        <v>7234.8888943000002</v>
      </c>
      <c r="H88" s="1"/>
      <c r="I88" s="19">
        <v>8074</v>
      </c>
      <c r="J88" s="19">
        <v>30</v>
      </c>
      <c r="K88" s="30">
        <v>391.69</v>
      </c>
      <c r="L88" s="30">
        <v>249.46</v>
      </c>
      <c r="M88" s="30">
        <v>641.15</v>
      </c>
      <c r="N88" s="34">
        <v>93.43</v>
      </c>
      <c r="O88" s="1"/>
      <c r="P88" s="35">
        <v>3.0977674171191048E-3</v>
      </c>
      <c r="Q88" s="31">
        <v>5.0807010341023277E-3</v>
      </c>
      <c r="R88" s="31">
        <v>0</v>
      </c>
      <c r="S88" s="1"/>
    </row>
    <row r="89" spans="1:19" ht="15" x14ac:dyDescent="0.35">
      <c r="A89" s="28">
        <v>8075</v>
      </c>
      <c r="B89" s="28">
        <v>30</v>
      </c>
      <c r="C89" s="29">
        <v>316.24</v>
      </c>
      <c r="D89" s="29">
        <v>349.94</v>
      </c>
      <c r="E89" s="29">
        <v>666.18000000000006</v>
      </c>
      <c r="F89" s="20" t="s">
        <v>7</v>
      </c>
      <c r="G89" s="33">
        <v>14404.64602</v>
      </c>
      <c r="H89" s="1"/>
      <c r="I89" s="28">
        <v>8075</v>
      </c>
      <c r="J89" s="28">
        <v>30</v>
      </c>
      <c r="K89" s="29">
        <v>316.52999999999997</v>
      </c>
      <c r="L89" s="29">
        <v>351.68</v>
      </c>
      <c r="M89" s="29">
        <v>668.21</v>
      </c>
      <c r="N89" s="33">
        <v>68.319999999999993</v>
      </c>
      <c r="O89" s="1"/>
      <c r="P89" s="35">
        <v>3.0472244738658808E-3</v>
      </c>
      <c r="Q89" s="31">
        <v>9.1702504427005954E-4</v>
      </c>
      <c r="R89" s="31">
        <v>4.9722809624507319E-3</v>
      </c>
      <c r="S89" s="1"/>
    </row>
    <row r="90" spans="1:19" ht="15" x14ac:dyDescent="0.35">
      <c r="A90" s="19">
        <v>8076</v>
      </c>
      <c r="B90" s="19">
        <v>10</v>
      </c>
      <c r="C90" s="30">
        <v>158.93</v>
      </c>
      <c r="D90" s="30">
        <v>425.25</v>
      </c>
      <c r="E90" s="30">
        <v>584.18000000000006</v>
      </c>
      <c r="F90" s="32" t="s">
        <v>6</v>
      </c>
      <c r="G90" s="34">
        <v>37.7851687</v>
      </c>
      <c r="H90" s="1"/>
      <c r="I90" s="19">
        <v>8076</v>
      </c>
      <c r="J90" s="19">
        <v>10</v>
      </c>
      <c r="K90" s="30">
        <v>158.93</v>
      </c>
      <c r="L90" s="30">
        <v>425.25</v>
      </c>
      <c r="M90" s="30">
        <v>584.17999999999995</v>
      </c>
      <c r="N90" s="34">
        <v>14.14</v>
      </c>
      <c r="O90" s="1"/>
      <c r="P90" s="35">
        <v>-1.9460926036772232E-16</v>
      </c>
      <c r="Q90" s="31">
        <v>0</v>
      </c>
      <c r="R90" s="31">
        <v>0</v>
      </c>
      <c r="S90" s="1"/>
    </row>
    <row r="91" spans="1:19" ht="15" x14ac:dyDescent="0.35">
      <c r="A91" s="28">
        <v>8077</v>
      </c>
      <c r="B91" s="28">
        <v>10</v>
      </c>
      <c r="C91" s="29">
        <v>245.45</v>
      </c>
      <c r="D91" s="29">
        <v>137.19999999999999</v>
      </c>
      <c r="E91" s="29">
        <v>382.65</v>
      </c>
      <c r="F91" s="32" t="s">
        <v>6</v>
      </c>
      <c r="G91" s="33">
        <v>1.3290202</v>
      </c>
      <c r="H91" s="1"/>
      <c r="I91" s="28">
        <v>8077</v>
      </c>
      <c r="J91" s="28">
        <v>10</v>
      </c>
      <c r="K91" s="29">
        <v>245.45</v>
      </c>
      <c r="L91" s="29">
        <v>137.19999999999999</v>
      </c>
      <c r="M91" s="29">
        <v>382.65</v>
      </c>
      <c r="N91" s="33">
        <v>15.94</v>
      </c>
      <c r="O91" s="1"/>
      <c r="P91" s="35">
        <v>0</v>
      </c>
      <c r="Q91" s="31">
        <v>0</v>
      </c>
      <c r="R91" s="31">
        <v>0</v>
      </c>
      <c r="S91" s="1"/>
    </row>
    <row r="92" spans="1:19" ht="15" x14ac:dyDescent="0.35">
      <c r="A92" s="19">
        <v>8078</v>
      </c>
      <c r="B92" s="19">
        <v>10</v>
      </c>
      <c r="C92" s="30">
        <v>228.71</v>
      </c>
      <c r="D92" s="30">
        <v>183.82</v>
      </c>
      <c r="E92" s="30">
        <v>412.53</v>
      </c>
      <c r="F92" s="32" t="s">
        <v>6</v>
      </c>
      <c r="G92" s="34">
        <v>2.1651341999999998</v>
      </c>
      <c r="H92" s="1"/>
      <c r="I92" s="19">
        <v>8078</v>
      </c>
      <c r="J92" s="19">
        <v>10</v>
      </c>
      <c r="K92" s="30">
        <v>228.71</v>
      </c>
      <c r="L92" s="30">
        <v>183.82</v>
      </c>
      <c r="M92" s="30">
        <v>412.53</v>
      </c>
      <c r="N92" s="34">
        <v>18.579999999999998</v>
      </c>
      <c r="O92" s="1"/>
      <c r="P92" s="35">
        <v>0</v>
      </c>
      <c r="Q92" s="31">
        <v>0</v>
      </c>
      <c r="R92" s="31">
        <v>0</v>
      </c>
      <c r="S92" s="1"/>
    </row>
    <row r="93" spans="1:19" ht="15" x14ac:dyDescent="0.35">
      <c r="A93" s="28">
        <v>8079</v>
      </c>
      <c r="B93" s="28">
        <v>10</v>
      </c>
      <c r="C93" s="29">
        <v>221</v>
      </c>
      <c r="D93" s="29">
        <v>174</v>
      </c>
      <c r="E93" s="29">
        <v>395</v>
      </c>
      <c r="F93" s="32" t="s">
        <v>6</v>
      </c>
      <c r="G93" s="33">
        <v>2.0483126999999999</v>
      </c>
      <c r="H93" s="1"/>
      <c r="I93" s="28">
        <v>8079</v>
      </c>
      <c r="J93" s="28">
        <v>10</v>
      </c>
      <c r="K93" s="29">
        <v>221</v>
      </c>
      <c r="L93" s="29">
        <v>174</v>
      </c>
      <c r="M93" s="29">
        <v>395</v>
      </c>
      <c r="N93" s="33">
        <v>16.29</v>
      </c>
      <c r="O93" s="1"/>
      <c r="P93" s="35">
        <v>0</v>
      </c>
      <c r="Q93" s="31">
        <v>0</v>
      </c>
      <c r="R93" s="31">
        <v>0</v>
      </c>
      <c r="S93" s="1"/>
    </row>
    <row r="94" spans="1:19" ht="15" x14ac:dyDescent="0.35">
      <c r="A94" s="19">
        <v>8080</v>
      </c>
      <c r="B94" s="19">
        <v>10</v>
      </c>
      <c r="C94" s="30">
        <v>198.7</v>
      </c>
      <c r="D94" s="30">
        <v>235.12</v>
      </c>
      <c r="E94" s="30">
        <v>433.82</v>
      </c>
      <c r="F94" s="32" t="s">
        <v>6</v>
      </c>
      <c r="G94" s="34">
        <v>4.6105777999999997</v>
      </c>
      <c r="H94" s="1"/>
      <c r="I94" s="19">
        <v>8080</v>
      </c>
      <c r="J94" s="19">
        <v>10</v>
      </c>
      <c r="K94" s="30">
        <v>198.7</v>
      </c>
      <c r="L94" s="30">
        <v>235.12</v>
      </c>
      <c r="M94" s="30">
        <v>433.82</v>
      </c>
      <c r="N94" s="34">
        <v>16.22</v>
      </c>
      <c r="O94" s="1"/>
      <c r="P94" s="35">
        <v>0</v>
      </c>
      <c r="Q94" s="31">
        <v>0</v>
      </c>
      <c r="R94" s="31">
        <v>0</v>
      </c>
      <c r="S94" s="1"/>
    </row>
    <row r="95" spans="1:19" ht="15" x14ac:dyDescent="0.35">
      <c r="A95" s="28">
        <v>8081</v>
      </c>
      <c r="B95" s="28">
        <v>15</v>
      </c>
      <c r="C95" s="29">
        <v>366.45</v>
      </c>
      <c r="D95" s="29">
        <v>516.59</v>
      </c>
      <c r="E95" s="29">
        <v>883.04</v>
      </c>
      <c r="F95" s="32" t="s">
        <v>6</v>
      </c>
      <c r="G95" s="33">
        <v>220.45173439999999</v>
      </c>
      <c r="H95" s="1"/>
      <c r="I95" s="28">
        <v>8081</v>
      </c>
      <c r="J95" s="28">
        <v>15</v>
      </c>
      <c r="K95" s="29">
        <v>366.45</v>
      </c>
      <c r="L95" s="29">
        <v>516.59</v>
      </c>
      <c r="M95" s="29">
        <v>883.04</v>
      </c>
      <c r="N95" s="33">
        <v>18.559999999999999</v>
      </c>
      <c r="O95" s="1"/>
      <c r="P95" s="35">
        <v>0</v>
      </c>
      <c r="Q95" s="31">
        <v>0</v>
      </c>
      <c r="R95" s="31">
        <v>0</v>
      </c>
      <c r="S95" s="1"/>
    </row>
    <row r="96" spans="1:19" ht="15" x14ac:dyDescent="0.35">
      <c r="A96" s="19">
        <v>8082</v>
      </c>
      <c r="B96" s="19">
        <v>15</v>
      </c>
      <c r="C96" s="30">
        <v>235.84</v>
      </c>
      <c r="D96" s="30">
        <v>236.97</v>
      </c>
      <c r="E96" s="30">
        <v>472.81</v>
      </c>
      <c r="F96" s="32" t="s">
        <v>6</v>
      </c>
      <c r="G96" s="34">
        <v>18.929553300000002</v>
      </c>
      <c r="H96" s="1"/>
      <c r="I96" s="19">
        <v>8082</v>
      </c>
      <c r="J96" s="19">
        <v>15</v>
      </c>
      <c r="K96" s="30">
        <v>235.84</v>
      </c>
      <c r="L96" s="30">
        <v>236.97</v>
      </c>
      <c r="M96" s="30">
        <v>472.81</v>
      </c>
      <c r="N96" s="34">
        <v>20.34</v>
      </c>
      <c r="O96" s="1"/>
      <c r="P96" s="35">
        <v>0</v>
      </c>
      <c r="Q96" s="31">
        <v>0</v>
      </c>
      <c r="R96" s="31">
        <v>0</v>
      </c>
      <c r="S96" s="1"/>
    </row>
    <row r="97" spans="1:19" ht="15" x14ac:dyDescent="0.35">
      <c r="A97" s="28">
        <v>8083</v>
      </c>
      <c r="B97" s="28">
        <v>15</v>
      </c>
      <c r="C97" s="29">
        <v>361.18</v>
      </c>
      <c r="D97" s="29">
        <v>326.02</v>
      </c>
      <c r="E97" s="29">
        <v>687.2</v>
      </c>
      <c r="F97" s="32" t="s">
        <v>6</v>
      </c>
      <c r="G97" s="33">
        <v>118.68204590000001</v>
      </c>
      <c r="H97" s="1"/>
      <c r="I97" s="28">
        <v>8083</v>
      </c>
      <c r="J97" s="28">
        <v>15</v>
      </c>
      <c r="K97" s="29">
        <v>361.18</v>
      </c>
      <c r="L97" s="29">
        <v>326.02</v>
      </c>
      <c r="M97" s="29">
        <v>687.2</v>
      </c>
      <c r="N97" s="33">
        <v>21.33</v>
      </c>
      <c r="O97" s="1"/>
      <c r="P97" s="35">
        <v>0</v>
      </c>
      <c r="Q97" s="31">
        <v>0</v>
      </c>
      <c r="R97" s="31">
        <v>0</v>
      </c>
      <c r="S97" s="1"/>
    </row>
    <row r="98" spans="1:19" ht="15" x14ac:dyDescent="0.35">
      <c r="A98" s="19">
        <v>8084</v>
      </c>
      <c r="B98" s="19">
        <v>15</v>
      </c>
      <c r="C98" s="30">
        <v>205.3</v>
      </c>
      <c r="D98" s="30">
        <v>227.67</v>
      </c>
      <c r="E98" s="30">
        <v>432.97</v>
      </c>
      <c r="F98" s="32" t="s">
        <v>6</v>
      </c>
      <c r="G98" s="34">
        <v>4.9066562000000005</v>
      </c>
      <c r="H98" s="1"/>
      <c r="I98" s="19">
        <v>8084</v>
      </c>
      <c r="J98" s="19">
        <v>15</v>
      </c>
      <c r="K98" s="30">
        <v>205.3</v>
      </c>
      <c r="L98" s="30">
        <v>227.67</v>
      </c>
      <c r="M98" s="30">
        <v>432.97</v>
      </c>
      <c r="N98" s="34">
        <v>21.55</v>
      </c>
      <c r="O98" s="1"/>
      <c r="P98" s="35">
        <v>0</v>
      </c>
      <c r="Q98" s="31">
        <v>0</v>
      </c>
      <c r="R98" s="31">
        <v>0</v>
      </c>
      <c r="S98" s="1"/>
    </row>
    <row r="99" spans="1:19" ht="15" x14ac:dyDescent="0.35">
      <c r="A99" s="28">
        <v>8085</v>
      </c>
      <c r="B99" s="28">
        <v>15</v>
      </c>
      <c r="C99" s="29">
        <v>172.97</v>
      </c>
      <c r="D99" s="29">
        <v>206.26</v>
      </c>
      <c r="E99" s="29">
        <v>379.23</v>
      </c>
      <c r="F99" s="32" t="s">
        <v>6</v>
      </c>
      <c r="G99" s="33">
        <v>1.2436152</v>
      </c>
      <c r="H99" s="1"/>
      <c r="I99" s="28">
        <v>8085</v>
      </c>
      <c r="J99" s="28">
        <v>15</v>
      </c>
      <c r="K99" s="29">
        <v>172.97</v>
      </c>
      <c r="L99" s="29">
        <v>206.63</v>
      </c>
      <c r="M99" s="29">
        <v>379.6</v>
      </c>
      <c r="N99" s="33">
        <v>23.33</v>
      </c>
      <c r="O99" s="1"/>
      <c r="P99" s="35">
        <v>9.7566120823775685E-4</v>
      </c>
      <c r="Q99" s="31">
        <v>0</v>
      </c>
      <c r="R99" s="31">
        <v>1.7938524192766632E-3</v>
      </c>
      <c r="S99" s="1"/>
    </row>
    <row r="100" spans="1:19" ht="15" x14ac:dyDescent="0.35">
      <c r="A100" s="19">
        <v>8086</v>
      </c>
      <c r="B100" s="19">
        <v>20</v>
      </c>
      <c r="C100" s="30">
        <v>509.12</v>
      </c>
      <c r="D100" s="30">
        <v>530.5</v>
      </c>
      <c r="E100" s="30">
        <v>1039.6199999999999</v>
      </c>
      <c r="F100" s="32" t="s">
        <v>6</v>
      </c>
      <c r="G100" s="34">
        <v>1373.145931</v>
      </c>
      <c r="H100" s="1"/>
      <c r="I100" s="19">
        <v>8086</v>
      </c>
      <c r="J100" s="19">
        <v>20</v>
      </c>
      <c r="K100" s="30">
        <v>509.12</v>
      </c>
      <c r="L100" s="30">
        <v>530.5</v>
      </c>
      <c r="M100" s="30">
        <v>1039.6199999999999</v>
      </c>
      <c r="N100" s="34">
        <v>24.94</v>
      </c>
      <c r="O100" s="1"/>
      <c r="P100" s="35">
        <v>0</v>
      </c>
      <c r="Q100" s="31">
        <v>0</v>
      </c>
      <c r="R100" s="31">
        <v>0</v>
      </c>
      <c r="S100" s="1"/>
    </row>
    <row r="101" spans="1:19" ht="15" x14ac:dyDescent="0.35">
      <c r="A101" s="28">
        <v>8087</v>
      </c>
      <c r="B101" s="28">
        <v>20</v>
      </c>
      <c r="C101" s="29">
        <v>292.16000000000003</v>
      </c>
      <c r="D101" s="29">
        <v>431.05</v>
      </c>
      <c r="E101" s="29">
        <v>723.21</v>
      </c>
      <c r="F101" s="20" t="s">
        <v>7</v>
      </c>
      <c r="G101" s="33">
        <v>7694.4731097000004</v>
      </c>
      <c r="H101" s="1"/>
      <c r="I101" s="28">
        <v>8087</v>
      </c>
      <c r="J101" s="28">
        <v>20</v>
      </c>
      <c r="K101" s="29">
        <v>292.16000000000003</v>
      </c>
      <c r="L101" s="29">
        <v>431.05</v>
      </c>
      <c r="M101" s="29">
        <v>723.21</v>
      </c>
      <c r="N101" s="33">
        <v>30.55</v>
      </c>
      <c r="O101" s="1"/>
      <c r="P101" s="35">
        <v>0</v>
      </c>
      <c r="Q101" s="31">
        <v>0</v>
      </c>
      <c r="R101" s="31">
        <v>0</v>
      </c>
      <c r="S101" s="1"/>
    </row>
    <row r="102" spans="1:19" ht="15" x14ac:dyDescent="0.35">
      <c r="A102" s="19">
        <v>8088</v>
      </c>
      <c r="B102" s="19">
        <v>20</v>
      </c>
      <c r="C102" s="30">
        <v>317.95999999999998</v>
      </c>
      <c r="D102" s="30">
        <v>371.58</v>
      </c>
      <c r="E102" s="30">
        <v>689.54</v>
      </c>
      <c r="F102" s="32" t="s">
        <v>6</v>
      </c>
      <c r="G102" s="34">
        <v>52.882069999999999</v>
      </c>
      <c r="H102" s="1"/>
      <c r="I102" s="19">
        <v>8088</v>
      </c>
      <c r="J102" s="19">
        <v>20</v>
      </c>
      <c r="K102" s="30">
        <v>322.5</v>
      </c>
      <c r="L102" s="30">
        <v>371.58</v>
      </c>
      <c r="M102" s="30">
        <v>694.08</v>
      </c>
      <c r="N102" s="34">
        <v>27.42</v>
      </c>
      <c r="O102" s="1"/>
      <c r="P102" s="35">
        <v>6.584099544624065E-3</v>
      </c>
      <c r="Q102" s="31">
        <v>1.4278525600704556E-2</v>
      </c>
      <c r="R102" s="31">
        <v>0</v>
      </c>
      <c r="S102" s="1"/>
    </row>
    <row r="103" spans="1:19" ht="15" x14ac:dyDescent="0.35">
      <c r="A103" s="28">
        <v>8089</v>
      </c>
      <c r="B103" s="28">
        <v>20</v>
      </c>
      <c r="C103" s="29">
        <v>347.6</v>
      </c>
      <c r="D103" s="29">
        <v>352.12</v>
      </c>
      <c r="E103" s="29">
        <v>699.72</v>
      </c>
      <c r="F103" s="32" t="s">
        <v>6</v>
      </c>
      <c r="G103" s="33">
        <v>1061.8623557000001</v>
      </c>
      <c r="H103" s="1"/>
      <c r="I103" s="28">
        <v>8089</v>
      </c>
      <c r="J103" s="28">
        <v>20</v>
      </c>
      <c r="K103" s="29">
        <v>347.6</v>
      </c>
      <c r="L103" s="29">
        <v>358.64</v>
      </c>
      <c r="M103" s="29">
        <v>706.24</v>
      </c>
      <c r="N103" s="33">
        <v>33.42</v>
      </c>
      <c r="O103" s="1"/>
      <c r="P103" s="35">
        <v>9.3180129194534687E-3</v>
      </c>
      <c r="Q103" s="31">
        <v>0</v>
      </c>
      <c r="R103" s="31">
        <v>1.851641485857089E-2</v>
      </c>
      <c r="S103" s="1"/>
    </row>
    <row r="104" spans="1:19" ht="15" x14ac:dyDescent="0.35">
      <c r="A104" s="19">
        <v>8090</v>
      </c>
      <c r="B104" s="19">
        <v>20</v>
      </c>
      <c r="C104" s="30">
        <v>315.35000000000002</v>
      </c>
      <c r="D104" s="30">
        <v>310.77</v>
      </c>
      <c r="E104" s="30">
        <v>626.12</v>
      </c>
      <c r="F104" s="20" t="s">
        <v>7</v>
      </c>
      <c r="G104" s="34">
        <v>26681.672576500001</v>
      </c>
      <c r="H104" s="1"/>
      <c r="I104" s="19">
        <v>8090</v>
      </c>
      <c r="J104" s="19">
        <v>20</v>
      </c>
      <c r="K104" s="30">
        <v>315.35000000000002</v>
      </c>
      <c r="L104" s="30">
        <v>310.77</v>
      </c>
      <c r="M104" s="30">
        <v>626.12</v>
      </c>
      <c r="N104" s="34">
        <v>30.41</v>
      </c>
      <c r="O104" s="1"/>
      <c r="P104" s="35">
        <v>0</v>
      </c>
      <c r="Q104" s="31">
        <v>0</v>
      </c>
      <c r="R104" s="31">
        <v>0</v>
      </c>
      <c r="S104" s="1"/>
    </row>
    <row r="105" spans="1:19" ht="15" x14ac:dyDescent="0.35">
      <c r="A105" s="28">
        <v>8091</v>
      </c>
      <c r="B105" s="28">
        <v>25</v>
      </c>
      <c r="C105" s="29">
        <v>759.27</v>
      </c>
      <c r="D105" s="29">
        <v>449.35</v>
      </c>
      <c r="E105" s="29">
        <v>1208.6199999999999</v>
      </c>
      <c r="F105" s="20" t="s">
        <v>7</v>
      </c>
      <c r="G105" s="33">
        <v>14401.476907</v>
      </c>
      <c r="H105" s="1"/>
      <c r="I105" s="28">
        <v>8091</v>
      </c>
      <c r="J105" s="28">
        <v>25</v>
      </c>
      <c r="K105" s="29">
        <v>762.4</v>
      </c>
      <c r="L105" s="29">
        <v>449.61</v>
      </c>
      <c r="M105" s="29">
        <v>1212.01</v>
      </c>
      <c r="N105" s="33">
        <v>44.83</v>
      </c>
      <c r="O105" s="1"/>
      <c r="P105" s="35">
        <v>2.8048518144661683E-3</v>
      </c>
      <c r="Q105" s="31">
        <v>4.1223807077851032E-3</v>
      </c>
      <c r="R105" s="31">
        <v>5.7861355290973824E-4</v>
      </c>
      <c r="S105" s="1"/>
    </row>
    <row r="106" spans="1:19" ht="15" x14ac:dyDescent="0.35">
      <c r="A106" s="19">
        <v>8092</v>
      </c>
      <c r="B106" s="19">
        <v>25</v>
      </c>
      <c r="C106" s="30">
        <v>385.59</v>
      </c>
      <c r="D106" s="30">
        <v>398.89</v>
      </c>
      <c r="E106" s="30">
        <v>784.48</v>
      </c>
      <c r="F106" s="20" t="s">
        <v>7</v>
      </c>
      <c r="G106" s="34">
        <v>7483.6926002</v>
      </c>
      <c r="H106" s="1"/>
      <c r="I106" s="19">
        <v>8092</v>
      </c>
      <c r="J106" s="19">
        <v>25</v>
      </c>
      <c r="K106" s="30">
        <v>385.59</v>
      </c>
      <c r="L106" s="30">
        <v>398.89</v>
      </c>
      <c r="M106" s="30">
        <v>784.48</v>
      </c>
      <c r="N106" s="34">
        <v>40.89</v>
      </c>
      <c r="O106" s="1"/>
      <c r="P106" s="35">
        <v>0</v>
      </c>
      <c r="Q106" s="31">
        <v>0</v>
      </c>
      <c r="R106" s="31">
        <v>0</v>
      </c>
      <c r="S106" s="1"/>
    </row>
    <row r="107" spans="1:19" ht="15" x14ac:dyDescent="0.35">
      <c r="A107" s="28">
        <v>8093</v>
      </c>
      <c r="B107" s="28">
        <v>25</v>
      </c>
      <c r="C107" s="29">
        <v>344.79</v>
      </c>
      <c r="D107" s="29">
        <v>556.95000000000005</v>
      </c>
      <c r="E107" s="29">
        <v>901.74</v>
      </c>
      <c r="F107" s="20" t="s">
        <v>7</v>
      </c>
      <c r="G107" s="33">
        <v>10459.5997405</v>
      </c>
      <c r="H107" s="1"/>
      <c r="I107" s="28">
        <v>8093</v>
      </c>
      <c r="J107" s="28">
        <v>25</v>
      </c>
      <c r="K107" s="29">
        <v>345.46</v>
      </c>
      <c r="L107" s="29">
        <v>559.54</v>
      </c>
      <c r="M107" s="29">
        <v>905</v>
      </c>
      <c r="N107" s="33">
        <v>47.71</v>
      </c>
      <c r="O107" s="1"/>
      <c r="P107" s="35">
        <v>3.6152327721959664E-3</v>
      </c>
      <c r="Q107" s="31">
        <v>1.9432118100871807E-3</v>
      </c>
      <c r="R107" s="31">
        <v>4.6503276775292542E-3</v>
      </c>
      <c r="S107" s="1"/>
    </row>
    <row r="108" spans="1:19" ht="15" x14ac:dyDescent="0.35">
      <c r="A108" s="19">
        <v>8094</v>
      </c>
      <c r="B108" s="19">
        <v>25</v>
      </c>
      <c r="C108" s="30">
        <v>386.54</v>
      </c>
      <c r="D108" s="30">
        <v>482.77</v>
      </c>
      <c r="E108" s="30">
        <v>869.31</v>
      </c>
      <c r="F108" s="20" t="s">
        <v>7</v>
      </c>
      <c r="G108" s="34">
        <v>14409.0899725</v>
      </c>
      <c r="H108" s="1"/>
      <c r="I108" s="19">
        <v>8094</v>
      </c>
      <c r="J108" s="19">
        <v>25</v>
      </c>
      <c r="K108" s="30">
        <v>386.54</v>
      </c>
      <c r="L108" s="30">
        <v>482.77</v>
      </c>
      <c r="M108" s="30">
        <v>869.31</v>
      </c>
      <c r="N108" s="34">
        <v>44.68</v>
      </c>
      <c r="O108" s="1"/>
      <c r="P108" s="35">
        <v>0</v>
      </c>
      <c r="Q108" s="31">
        <v>0</v>
      </c>
      <c r="R108" s="31">
        <v>0</v>
      </c>
      <c r="S108" s="1"/>
    </row>
    <row r="109" spans="1:19" ht="15" x14ac:dyDescent="0.35">
      <c r="A109" s="28">
        <v>8095</v>
      </c>
      <c r="B109" s="28">
        <v>25</v>
      </c>
      <c r="C109" s="29">
        <v>388.66</v>
      </c>
      <c r="D109" s="29">
        <v>407.15</v>
      </c>
      <c r="E109" s="29">
        <v>795.81</v>
      </c>
      <c r="F109" s="20" t="s">
        <v>7</v>
      </c>
      <c r="G109" s="33">
        <v>8079.2408052000001</v>
      </c>
      <c r="H109" s="1"/>
      <c r="I109" s="28">
        <v>8095</v>
      </c>
      <c r="J109" s="28">
        <v>25</v>
      </c>
      <c r="K109" s="29">
        <v>390.66</v>
      </c>
      <c r="L109" s="29">
        <v>407.15</v>
      </c>
      <c r="M109" s="29">
        <v>797.81</v>
      </c>
      <c r="N109" s="33">
        <v>44.42</v>
      </c>
      <c r="O109" s="1"/>
      <c r="P109" s="35">
        <v>2.5131626895867104E-3</v>
      </c>
      <c r="Q109" s="31">
        <v>5.1458858642515308E-3</v>
      </c>
      <c r="R109" s="31">
        <v>0</v>
      </c>
      <c r="S109" s="1"/>
    </row>
    <row r="110" spans="1:19" ht="15" x14ac:dyDescent="0.35">
      <c r="A110" s="19">
        <v>8096</v>
      </c>
      <c r="B110" s="19">
        <v>30</v>
      </c>
      <c r="C110" s="30">
        <v>880.38</v>
      </c>
      <c r="D110" s="30">
        <v>594.03</v>
      </c>
      <c r="E110" s="30">
        <v>1474.4099999999999</v>
      </c>
      <c r="F110" s="20" t="s">
        <v>7</v>
      </c>
      <c r="G110" s="34">
        <v>14431.7912686</v>
      </c>
      <c r="H110" s="1"/>
      <c r="I110" s="19">
        <v>8096</v>
      </c>
      <c r="J110" s="19">
        <v>30</v>
      </c>
      <c r="K110" s="30">
        <v>878.05</v>
      </c>
      <c r="L110" s="30">
        <v>597.4</v>
      </c>
      <c r="M110" s="30">
        <v>1475.45</v>
      </c>
      <c r="N110" s="34">
        <v>46.26</v>
      </c>
      <c r="O110" s="1"/>
      <c r="P110" s="35">
        <v>7.0536689251984939E-4</v>
      </c>
      <c r="Q110" s="31">
        <v>-2.6465844294509652E-3</v>
      </c>
      <c r="R110" s="31">
        <v>5.6731141524838892E-3</v>
      </c>
      <c r="S110" s="1"/>
    </row>
    <row r="111" spans="1:19" ht="15" x14ac:dyDescent="0.35">
      <c r="A111" s="28">
        <v>8097</v>
      </c>
      <c r="B111" s="28">
        <v>30</v>
      </c>
      <c r="C111" s="29">
        <v>389.56</v>
      </c>
      <c r="D111" s="29">
        <v>430.86</v>
      </c>
      <c r="E111" s="29">
        <v>820.42000000000007</v>
      </c>
      <c r="F111" s="20" t="s">
        <v>7</v>
      </c>
      <c r="G111" s="33">
        <v>10916.526639899999</v>
      </c>
      <c r="H111" s="1"/>
      <c r="I111" s="28">
        <v>8097</v>
      </c>
      <c r="J111" s="28">
        <v>30</v>
      </c>
      <c r="K111" s="29">
        <v>383.55</v>
      </c>
      <c r="L111" s="29">
        <v>424.57</v>
      </c>
      <c r="M111" s="29">
        <v>808.12</v>
      </c>
      <c r="N111" s="33">
        <v>68.37</v>
      </c>
      <c r="O111" s="1"/>
      <c r="P111" s="35">
        <v>-1.4992321006313921E-2</v>
      </c>
      <c r="Q111" s="31">
        <v>-1.5427661977615748E-2</v>
      </c>
      <c r="R111" s="31">
        <v>-1.4598709557628976E-2</v>
      </c>
      <c r="S111" s="1"/>
    </row>
    <row r="112" spans="1:19" ht="15" x14ac:dyDescent="0.35">
      <c r="A112" s="19">
        <v>8098</v>
      </c>
      <c r="B112" s="19">
        <v>30</v>
      </c>
      <c r="C112" s="30">
        <v>369.21</v>
      </c>
      <c r="D112" s="30">
        <v>785.39</v>
      </c>
      <c r="E112" s="30">
        <v>1154.5999999999999</v>
      </c>
      <c r="F112" s="20" t="s">
        <v>7</v>
      </c>
      <c r="G112" s="34">
        <v>7683.2788959</v>
      </c>
      <c r="H112" s="1"/>
      <c r="I112" s="19">
        <v>8098</v>
      </c>
      <c r="J112" s="19">
        <v>30</v>
      </c>
      <c r="K112" s="30">
        <v>429.9</v>
      </c>
      <c r="L112" s="30">
        <v>790.22</v>
      </c>
      <c r="M112" s="30">
        <v>1220.1199999999999</v>
      </c>
      <c r="N112" s="34">
        <v>64.459999999999994</v>
      </c>
      <c r="O112" s="1"/>
      <c r="P112" s="35">
        <v>5.6746925342109809E-2</v>
      </c>
      <c r="Q112" s="31">
        <v>0.16437799626228974</v>
      </c>
      <c r="R112" s="31">
        <v>6.1498109219623896E-3</v>
      </c>
      <c r="S112" s="1"/>
    </row>
    <row r="113" spans="1:19" ht="15" x14ac:dyDescent="0.35">
      <c r="A113" s="28">
        <v>8099</v>
      </c>
      <c r="B113" s="28">
        <v>30</v>
      </c>
      <c r="C113" s="29">
        <v>405.12</v>
      </c>
      <c r="D113" s="29">
        <v>403.96</v>
      </c>
      <c r="E113" s="29">
        <v>809.07999999999993</v>
      </c>
      <c r="F113" s="20" t="s">
        <v>7</v>
      </c>
      <c r="G113" s="33">
        <v>14403.720608600001</v>
      </c>
      <c r="H113" s="1"/>
      <c r="I113" s="28">
        <v>8099</v>
      </c>
      <c r="J113" s="28">
        <v>30</v>
      </c>
      <c r="K113" s="29">
        <v>405.12</v>
      </c>
      <c r="L113" s="29">
        <v>405.51</v>
      </c>
      <c r="M113" s="29">
        <v>810.63</v>
      </c>
      <c r="N113" s="33">
        <v>66.19</v>
      </c>
      <c r="O113" s="1"/>
      <c r="P113" s="35">
        <v>1.9157561674989722E-3</v>
      </c>
      <c r="Q113" s="31">
        <v>0</v>
      </c>
      <c r="R113" s="31">
        <v>3.8370135656996024E-3</v>
      </c>
      <c r="S113" s="1"/>
    </row>
    <row r="114" spans="1:19" ht="15" x14ac:dyDescent="0.35">
      <c r="A114" s="19">
        <v>8100</v>
      </c>
      <c r="B114" s="19">
        <v>30</v>
      </c>
      <c r="C114" s="30">
        <v>459.42</v>
      </c>
      <c r="D114" s="30">
        <v>462.1</v>
      </c>
      <c r="E114" s="30">
        <v>921.52</v>
      </c>
      <c r="F114" s="20" t="s">
        <v>7</v>
      </c>
      <c r="G114" s="34">
        <v>9613.6094675000004</v>
      </c>
      <c r="H114" s="1"/>
      <c r="I114" s="19">
        <v>8100</v>
      </c>
      <c r="J114" s="19">
        <v>30</v>
      </c>
      <c r="K114" s="30">
        <v>461.93</v>
      </c>
      <c r="L114" s="30">
        <v>462.1</v>
      </c>
      <c r="M114" s="30">
        <v>924.03</v>
      </c>
      <c r="N114" s="34">
        <v>64.95</v>
      </c>
      <c r="O114" s="1"/>
      <c r="P114" s="35">
        <v>2.7237607431200529E-3</v>
      </c>
      <c r="Q114" s="31">
        <v>5.4634103870096883E-3</v>
      </c>
      <c r="R114" s="31">
        <v>0</v>
      </c>
      <c r="S114" s="1"/>
    </row>
  </sheetData>
  <mergeCells count="4">
    <mergeCell ref="A1:G1"/>
    <mergeCell ref="H1:N1"/>
    <mergeCell ref="O1:R1"/>
    <mergeCell ref="S1:U1"/>
  </mergeCells>
  <conditionalFormatting sqref="P3:P114">
    <cfRule type="expression" dxfId="9" priority="2">
      <formula>AND(P3&lt;&gt;"",P3&lt;0,F3="TIME_LIMIT")</formula>
    </cfRule>
    <cfRule type="expression" dxfId="8" priority="3">
      <formula>AND(P3&lt;&gt;"",P3&lt;0,F3="OPTIMAL")</formula>
    </cfRule>
  </conditionalFormatting>
  <conditionalFormatting sqref="P3:R114">
    <cfRule type="expression" dxfId="7" priority="1">
      <formula>AND(P3&lt;&gt;"",P3&gt;=0)</formula>
    </cfRule>
  </conditionalFormatting>
  <conditionalFormatting sqref="Q3:Q114">
    <cfRule type="expression" dxfId="6" priority="5">
      <formula>AND(Q3&lt;&gt;"",Q3&lt;0,F3="TIME_LIMIT")</formula>
    </cfRule>
    <cfRule type="expression" dxfId="5" priority="6">
      <formula>AND(Q3&lt;&gt;"",Q3&lt;0,F3="OPTIMAL")</formula>
    </cfRule>
  </conditionalFormatting>
  <conditionalFormatting sqref="R3:R114">
    <cfRule type="expression" dxfId="4" priority="8">
      <formula>AND(R3&lt;&gt;"",R3&lt;0,F3="TIME_LIMIT")</formula>
    </cfRule>
    <cfRule type="expression" dxfId="3" priority="9">
      <formula>AND(R3&lt;&gt;"",R3&lt;0,F3="OPTIMAL")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14"/>
  <sheetViews>
    <sheetView topLeftCell="B1" workbookViewId="0">
      <selection activeCell="P2" sqref="P2:S114"/>
    </sheetView>
  </sheetViews>
  <sheetFormatPr defaultRowHeight="14.4" x14ac:dyDescent="0.3"/>
  <cols>
    <col min="1" max="1" width="8.33203125" customWidth="1"/>
    <col min="2" max="2" width="17.5546875" customWidth="1"/>
    <col min="3" max="3" width="14.77734375" customWidth="1"/>
    <col min="4" max="4" width="16.6640625" customWidth="1"/>
    <col min="5" max="5" width="13.88671875" customWidth="1"/>
    <col min="6" max="6" width="16.6640625" customWidth="1"/>
    <col min="7" max="7" width="2.5546875" customWidth="1"/>
    <col min="8" max="8" width="8.33203125" customWidth="1"/>
    <col min="9" max="9" width="17.5546875" customWidth="1"/>
    <col min="10" max="11" width="14.77734375" customWidth="1"/>
    <col min="12" max="12" width="17.5546875" customWidth="1"/>
    <col min="13" max="13" width="2.5546875" customWidth="1"/>
    <col min="14" max="14" width="21.33203125" customWidth="1"/>
  </cols>
  <sheetData>
    <row r="1" spans="1:14" ht="28.05" customHeight="1" x14ac:dyDescent="0.3">
      <c r="A1" s="52" t="s">
        <v>12</v>
      </c>
      <c r="B1" s="53"/>
      <c r="C1" s="53"/>
      <c r="D1" s="53"/>
      <c r="E1" s="53"/>
      <c r="F1" s="53"/>
      <c r="G1" s="1"/>
      <c r="H1" s="68" t="s">
        <v>13</v>
      </c>
      <c r="I1" s="69"/>
      <c r="J1" s="69"/>
      <c r="K1" s="69"/>
      <c r="L1" s="15" t="s">
        <v>14</v>
      </c>
      <c r="M1" s="1"/>
      <c r="N1" s="2" t="s">
        <v>10</v>
      </c>
    </row>
    <row r="2" spans="1:14" ht="22.05" customHeight="1" x14ac:dyDescent="0.3">
      <c r="A2" s="3" t="s">
        <v>0</v>
      </c>
      <c r="B2" s="3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1"/>
      <c r="H2" s="4" t="s">
        <v>0</v>
      </c>
      <c r="I2" s="4" t="s">
        <v>8</v>
      </c>
      <c r="J2" s="4" t="s">
        <v>9</v>
      </c>
      <c r="K2" s="4" t="s">
        <v>5</v>
      </c>
      <c r="L2" s="17" t="s">
        <v>11</v>
      </c>
      <c r="M2" s="1"/>
      <c r="N2" s="18"/>
    </row>
    <row r="3" spans="1:14" ht="30" customHeight="1" x14ac:dyDescent="0.3">
      <c r="A3" s="6">
        <v>1</v>
      </c>
      <c r="B3" s="6">
        <v>23</v>
      </c>
      <c r="C3" s="6">
        <v>274.72000000000003</v>
      </c>
      <c r="D3" s="7" t="s">
        <v>6</v>
      </c>
      <c r="E3" s="6">
        <v>0</v>
      </c>
      <c r="F3" s="6">
        <v>2687.0220457999999</v>
      </c>
      <c r="G3" s="1"/>
      <c r="H3" s="8">
        <v>1</v>
      </c>
      <c r="I3" s="8">
        <v>23</v>
      </c>
      <c r="J3" s="9">
        <v>283.86</v>
      </c>
      <c r="K3" s="8">
        <v>37.020000000000003</v>
      </c>
      <c r="L3" s="25">
        <f t="shared" ref="L3:L34" si="0">IF(C3=0,"",(J3-C3)/C3)</f>
        <v>3.3270238788584691E-2</v>
      </c>
      <c r="M3" s="1"/>
      <c r="N3" s="16">
        <f>AVERAGE(L3:L113)</f>
        <v>3.0400263927060366E-2</v>
      </c>
    </row>
    <row r="4" spans="1:14" ht="18" customHeight="1" x14ac:dyDescent="0.3">
      <c r="A4" s="11">
        <v>2</v>
      </c>
      <c r="B4" s="11">
        <v>29</v>
      </c>
      <c r="C4" s="11">
        <v>323.54000000000008</v>
      </c>
      <c r="D4" s="12" t="s">
        <v>7</v>
      </c>
      <c r="E4" s="11">
        <v>3.161896519750286</v>
      </c>
      <c r="F4" s="11">
        <v>7207.8892894999999</v>
      </c>
      <c r="G4" s="1"/>
      <c r="H4" s="13">
        <v>2</v>
      </c>
      <c r="I4" s="13">
        <v>29</v>
      </c>
      <c r="J4" s="14">
        <v>348.91</v>
      </c>
      <c r="K4" s="13">
        <v>60.21</v>
      </c>
      <c r="L4" s="25">
        <f t="shared" si="0"/>
        <v>7.8413797366631455E-2</v>
      </c>
      <c r="M4" s="1"/>
    </row>
    <row r="5" spans="1:14" ht="18" customHeight="1" x14ac:dyDescent="0.3">
      <c r="A5" s="6">
        <v>3</v>
      </c>
      <c r="B5" s="6">
        <v>20</v>
      </c>
      <c r="C5" s="6">
        <v>236.02</v>
      </c>
      <c r="D5" s="7" t="s">
        <v>6</v>
      </c>
      <c r="E5" s="6">
        <v>0</v>
      </c>
      <c r="F5" s="6">
        <v>558.17391039999995</v>
      </c>
      <c r="G5" s="1"/>
      <c r="H5" s="8">
        <v>3</v>
      </c>
      <c r="I5" s="8">
        <v>20</v>
      </c>
      <c r="J5" s="9">
        <v>244.24</v>
      </c>
      <c r="K5" s="8">
        <v>38.47</v>
      </c>
      <c r="L5" s="25">
        <f t="shared" si="0"/>
        <v>3.4827556986696033E-2</v>
      </c>
      <c r="M5" s="1"/>
    </row>
    <row r="6" spans="1:14" ht="18" customHeight="1" x14ac:dyDescent="0.3">
      <c r="A6" s="11">
        <v>4</v>
      </c>
      <c r="B6" s="11">
        <v>23</v>
      </c>
      <c r="C6" s="11">
        <v>322.3</v>
      </c>
      <c r="D6" s="7" t="s">
        <v>6</v>
      </c>
      <c r="E6" s="11">
        <v>0</v>
      </c>
      <c r="F6" s="11">
        <v>3595.5343643000001</v>
      </c>
      <c r="G6" s="1"/>
      <c r="H6" s="13">
        <v>4</v>
      </c>
      <c r="I6" s="13">
        <v>23</v>
      </c>
      <c r="J6" s="14">
        <v>322.63</v>
      </c>
      <c r="K6" s="13">
        <v>44.86</v>
      </c>
      <c r="L6" s="25">
        <f t="shared" si="0"/>
        <v>1.0238907849828857E-3</v>
      </c>
      <c r="M6" s="1"/>
    </row>
    <row r="7" spans="1:14" ht="18" customHeight="1" x14ac:dyDescent="0.3">
      <c r="A7" s="6">
        <v>5</v>
      </c>
      <c r="B7" s="6">
        <v>24</v>
      </c>
      <c r="C7" s="6">
        <v>328.26</v>
      </c>
      <c r="D7" s="12" t="s">
        <v>7</v>
      </c>
      <c r="E7" s="6">
        <v>1.108877109608233</v>
      </c>
      <c r="F7" s="6">
        <v>7200.8335316000002</v>
      </c>
      <c r="G7" s="1"/>
      <c r="H7" s="8">
        <v>5</v>
      </c>
      <c r="I7" s="8">
        <v>24</v>
      </c>
      <c r="J7" s="9">
        <v>349.84</v>
      </c>
      <c r="K7" s="8">
        <v>43.65</v>
      </c>
      <c r="L7" s="25">
        <f t="shared" si="0"/>
        <v>6.5740571498202602E-2</v>
      </c>
      <c r="M7" s="1"/>
    </row>
    <row r="8" spans="1:14" ht="18" customHeight="1" x14ac:dyDescent="0.3">
      <c r="A8" s="11">
        <v>6</v>
      </c>
      <c r="B8" s="11">
        <v>21</v>
      </c>
      <c r="C8" s="11">
        <v>230.08</v>
      </c>
      <c r="D8" s="7" t="s">
        <v>6</v>
      </c>
      <c r="E8" s="11">
        <v>0</v>
      </c>
      <c r="F8" s="11">
        <v>6.2246747999999998</v>
      </c>
      <c r="G8" s="1"/>
      <c r="H8" s="13">
        <v>6</v>
      </c>
      <c r="I8" s="13">
        <v>21</v>
      </c>
      <c r="J8" s="14">
        <v>233.91</v>
      </c>
      <c r="K8" s="13">
        <v>37.68</v>
      </c>
      <c r="L8" s="25">
        <f t="shared" si="0"/>
        <v>1.6646383866481155E-2</v>
      </c>
      <c r="M8" s="1"/>
    </row>
    <row r="9" spans="1:14" ht="18" customHeight="1" x14ac:dyDescent="0.3">
      <c r="A9" s="6">
        <v>7</v>
      </c>
      <c r="B9" s="6">
        <v>20</v>
      </c>
      <c r="C9" s="6">
        <v>156.93</v>
      </c>
      <c r="D9" s="7" t="s">
        <v>6</v>
      </c>
      <c r="E9" s="6">
        <v>0</v>
      </c>
      <c r="F9" s="6">
        <v>14.7862604</v>
      </c>
      <c r="G9" s="1"/>
      <c r="H9" s="8">
        <v>7</v>
      </c>
      <c r="I9" s="8">
        <v>20</v>
      </c>
      <c r="J9" s="9">
        <v>156.93</v>
      </c>
      <c r="K9" s="8">
        <v>35.46</v>
      </c>
      <c r="L9" s="25">
        <f t="shared" si="0"/>
        <v>0</v>
      </c>
      <c r="M9" s="1"/>
    </row>
    <row r="10" spans="1:14" ht="18" customHeight="1" x14ac:dyDescent="0.3">
      <c r="A10" s="11">
        <v>8</v>
      </c>
      <c r="B10" s="11">
        <v>30</v>
      </c>
      <c r="C10" s="11">
        <v>239.51</v>
      </c>
      <c r="D10" s="7" t="s">
        <v>6</v>
      </c>
      <c r="E10" s="11">
        <v>0</v>
      </c>
      <c r="F10" s="11">
        <v>152.9902002</v>
      </c>
      <c r="G10" s="1"/>
      <c r="H10" s="13">
        <v>8</v>
      </c>
      <c r="I10" s="13">
        <v>30</v>
      </c>
      <c r="J10" s="14">
        <v>260.89</v>
      </c>
      <c r="K10" s="13">
        <v>76.11</v>
      </c>
      <c r="L10" s="25">
        <f t="shared" si="0"/>
        <v>8.9265583900463435E-2</v>
      </c>
      <c r="M10" s="1"/>
    </row>
    <row r="11" spans="1:14" ht="18" customHeight="1" x14ac:dyDescent="0.3">
      <c r="A11" s="6">
        <v>9</v>
      </c>
      <c r="B11" s="6">
        <v>20</v>
      </c>
      <c r="C11" s="6">
        <v>392.06</v>
      </c>
      <c r="D11" s="7" t="s">
        <v>6</v>
      </c>
      <c r="E11" s="6">
        <v>0</v>
      </c>
      <c r="F11" s="6">
        <v>1.8998971</v>
      </c>
      <c r="G11" s="1"/>
      <c r="H11" s="8">
        <v>9</v>
      </c>
      <c r="I11" s="8">
        <v>20</v>
      </c>
      <c r="J11" s="9">
        <v>392.06</v>
      </c>
      <c r="K11" s="8">
        <v>39.65</v>
      </c>
      <c r="L11" s="25">
        <f t="shared" si="0"/>
        <v>0</v>
      </c>
      <c r="M11" s="1"/>
    </row>
    <row r="12" spans="1:14" ht="18" customHeight="1" x14ac:dyDescent="0.3">
      <c r="A12" s="11">
        <v>10</v>
      </c>
      <c r="B12" s="11">
        <v>20</v>
      </c>
      <c r="C12" s="11">
        <v>455.74</v>
      </c>
      <c r="D12" s="7" t="s">
        <v>6</v>
      </c>
      <c r="E12" s="11">
        <v>0</v>
      </c>
      <c r="F12" s="11">
        <v>6.7082375000000001</v>
      </c>
      <c r="G12" s="1"/>
      <c r="H12" s="13">
        <v>10</v>
      </c>
      <c r="I12" s="13">
        <v>20</v>
      </c>
      <c r="J12" s="14">
        <v>512.51</v>
      </c>
      <c r="K12" s="13">
        <v>27.24</v>
      </c>
      <c r="L12" s="25">
        <f t="shared" si="0"/>
        <v>0.1245666388730416</v>
      </c>
      <c r="M12" s="1"/>
    </row>
    <row r="13" spans="1:14" ht="18" customHeight="1" x14ac:dyDescent="0.3">
      <c r="A13" s="6">
        <v>11</v>
      </c>
      <c r="B13" s="6">
        <v>18</v>
      </c>
      <c r="C13" s="6">
        <v>493.96</v>
      </c>
      <c r="D13" s="7" t="s">
        <v>6</v>
      </c>
      <c r="E13" s="6">
        <v>0</v>
      </c>
      <c r="F13" s="6">
        <v>16.574908099999998</v>
      </c>
      <c r="G13" s="1"/>
      <c r="H13" s="8">
        <v>11</v>
      </c>
      <c r="I13" s="8">
        <v>18</v>
      </c>
      <c r="J13" s="9">
        <v>499.42</v>
      </c>
      <c r="K13" s="8">
        <v>13.84</v>
      </c>
      <c r="L13" s="25">
        <f t="shared" si="0"/>
        <v>1.1053526601344312E-2</v>
      </c>
      <c r="M13" s="1"/>
    </row>
    <row r="14" spans="1:14" ht="18" customHeight="1" x14ac:dyDescent="0.3">
      <c r="A14" s="11">
        <v>12</v>
      </c>
      <c r="B14" s="11">
        <v>20</v>
      </c>
      <c r="C14" s="11">
        <v>755.3599999999999</v>
      </c>
      <c r="D14" s="12" t="s">
        <v>7</v>
      </c>
      <c r="E14" s="11">
        <v>0.65002118195295688</v>
      </c>
      <c r="F14" s="11">
        <v>7200.9104126000002</v>
      </c>
      <c r="G14" s="1"/>
      <c r="H14" s="13">
        <v>12</v>
      </c>
      <c r="I14" s="13">
        <v>20</v>
      </c>
      <c r="J14" s="14">
        <v>760.98</v>
      </c>
      <c r="K14" s="13">
        <v>24.81</v>
      </c>
      <c r="L14" s="25">
        <f t="shared" si="0"/>
        <v>7.4401609828427754E-3</v>
      </c>
      <c r="M14" s="1"/>
    </row>
    <row r="15" spans="1:14" ht="18" customHeight="1" x14ac:dyDescent="0.3">
      <c r="A15" s="6">
        <v>8001</v>
      </c>
      <c r="B15" s="6">
        <v>10</v>
      </c>
      <c r="C15" s="6">
        <v>565.25</v>
      </c>
      <c r="D15" s="7" t="s">
        <v>6</v>
      </c>
      <c r="E15" s="6">
        <v>0</v>
      </c>
      <c r="F15" s="6">
        <v>7.8230427999999996</v>
      </c>
      <c r="G15" s="1"/>
      <c r="H15" s="8">
        <v>8001</v>
      </c>
      <c r="I15" s="8">
        <v>10</v>
      </c>
      <c r="J15" s="9">
        <v>584.58000000000004</v>
      </c>
      <c r="K15" s="8">
        <v>8.85</v>
      </c>
      <c r="L15" s="25">
        <f t="shared" si="0"/>
        <v>3.41972578505087E-2</v>
      </c>
      <c r="M15" s="1"/>
    </row>
    <row r="16" spans="1:14" ht="18" customHeight="1" x14ac:dyDescent="0.3">
      <c r="A16" s="11">
        <v>8002</v>
      </c>
      <c r="B16" s="11">
        <v>10</v>
      </c>
      <c r="C16" s="11">
        <v>442.97</v>
      </c>
      <c r="D16" s="7" t="s">
        <v>6</v>
      </c>
      <c r="E16" s="11">
        <v>0</v>
      </c>
      <c r="F16" s="11">
        <v>0.27104810000000001</v>
      </c>
      <c r="G16" s="1"/>
      <c r="H16" s="13">
        <v>8002</v>
      </c>
      <c r="I16" s="13">
        <v>10</v>
      </c>
      <c r="J16" s="14">
        <v>442.97</v>
      </c>
      <c r="K16" s="13">
        <v>7.94</v>
      </c>
      <c r="L16" s="25">
        <f t="shared" si="0"/>
        <v>0</v>
      </c>
      <c r="M16" s="1"/>
    </row>
    <row r="17" spans="1:13" ht="18" customHeight="1" x14ac:dyDescent="0.3">
      <c r="A17" s="6">
        <v>8003</v>
      </c>
      <c r="B17" s="6">
        <v>10</v>
      </c>
      <c r="C17" s="6">
        <v>537.32999999999993</v>
      </c>
      <c r="D17" s="7" t="s">
        <v>6</v>
      </c>
      <c r="E17" s="6">
        <v>0</v>
      </c>
      <c r="F17" s="6">
        <v>0.33077440000000002</v>
      </c>
      <c r="G17" s="1"/>
      <c r="H17" s="8">
        <v>8003</v>
      </c>
      <c r="I17" s="8">
        <v>10</v>
      </c>
      <c r="J17" s="9">
        <v>537.33000000000004</v>
      </c>
      <c r="K17" s="8">
        <v>16.04</v>
      </c>
      <c r="L17" s="25">
        <f t="shared" si="0"/>
        <v>2.1157731323696061E-16</v>
      </c>
      <c r="M17" s="1"/>
    </row>
    <row r="18" spans="1:13" ht="18" customHeight="1" x14ac:dyDescent="0.3">
      <c r="A18" s="11">
        <v>8004</v>
      </c>
      <c r="B18" s="11">
        <v>10</v>
      </c>
      <c r="C18" s="11">
        <v>505.07000000000011</v>
      </c>
      <c r="D18" s="7" t="s">
        <v>6</v>
      </c>
      <c r="E18" s="11">
        <v>0</v>
      </c>
      <c r="F18" s="11">
        <v>0.25994790000000001</v>
      </c>
      <c r="G18" s="1"/>
      <c r="H18" s="13">
        <v>8004</v>
      </c>
      <c r="I18" s="13">
        <v>10</v>
      </c>
      <c r="J18" s="14">
        <v>505.07</v>
      </c>
      <c r="K18" s="13">
        <v>13.51</v>
      </c>
      <c r="L18" s="25">
        <f t="shared" si="0"/>
        <v>-2.2509125016654328E-16</v>
      </c>
      <c r="M18" s="1"/>
    </row>
    <row r="19" spans="1:13" ht="18" customHeight="1" x14ac:dyDescent="0.3">
      <c r="A19" s="6">
        <v>8005</v>
      </c>
      <c r="B19" s="6">
        <v>10</v>
      </c>
      <c r="C19" s="6">
        <v>449.84</v>
      </c>
      <c r="D19" s="7" t="s">
        <v>6</v>
      </c>
      <c r="E19" s="6">
        <v>0</v>
      </c>
      <c r="F19" s="6">
        <v>0.20882580000000001</v>
      </c>
      <c r="G19" s="1"/>
      <c r="H19" s="8">
        <v>8005</v>
      </c>
      <c r="I19" s="8">
        <v>10</v>
      </c>
      <c r="J19" s="9">
        <v>449.84</v>
      </c>
      <c r="K19" s="8">
        <v>10.37</v>
      </c>
      <c r="L19" s="25">
        <f t="shared" si="0"/>
        <v>0</v>
      </c>
      <c r="M19" s="1"/>
    </row>
    <row r="20" spans="1:13" ht="18" customHeight="1" x14ac:dyDescent="0.3">
      <c r="A20" s="11">
        <v>8006</v>
      </c>
      <c r="B20" s="11">
        <v>15</v>
      </c>
      <c r="C20" s="11">
        <v>675.56999999999994</v>
      </c>
      <c r="D20" s="7" t="s">
        <v>6</v>
      </c>
      <c r="E20" s="11">
        <v>0</v>
      </c>
      <c r="F20" s="11">
        <v>30.324687300000001</v>
      </c>
      <c r="G20" s="1"/>
      <c r="H20" s="13">
        <v>8006</v>
      </c>
      <c r="I20" s="13">
        <v>15</v>
      </c>
      <c r="J20" s="14">
        <v>675.57</v>
      </c>
      <c r="K20" s="13">
        <v>19.329999999999998</v>
      </c>
      <c r="L20" s="25">
        <f t="shared" si="0"/>
        <v>1.6828283926405263E-16</v>
      </c>
      <c r="M20" s="1"/>
    </row>
    <row r="21" spans="1:13" ht="18" customHeight="1" x14ac:dyDescent="0.3">
      <c r="A21" s="6">
        <v>8007</v>
      </c>
      <c r="B21" s="6">
        <v>15</v>
      </c>
      <c r="C21" s="6">
        <v>549.88</v>
      </c>
      <c r="D21" s="7" t="s">
        <v>6</v>
      </c>
      <c r="E21" s="6">
        <v>0</v>
      </c>
      <c r="F21" s="6">
        <v>2.1505719000000001</v>
      </c>
      <c r="G21" s="1"/>
      <c r="H21" s="8">
        <v>8007</v>
      </c>
      <c r="I21" s="8">
        <v>15</v>
      </c>
      <c r="J21" s="9">
        <v>549.88</v>
      </c>
      <c r="K21" s="8">
        <v>19.32</v>
      </c>
      <c r="L21" s="25">
        <f t="shared" si="0"/>
        <v>0</v>
      </c>
      <c r="M21" s="1"/>
    </row>
    <row r="22" spans="1:13" ht="18" customHeight="1" x14ac:dyDescent="0.3">
      <c r="A22" s="11">
        <v>8008</v>
      </c>
      <c r="B22" s="11">
        <v>15</v>
      </c>
      <c r="C22" s="11">
        <v>576.65</v>
      </c>
      <c r="D22" s="7" t="s">
        <v>6</v>
      </c>
      <c r="E22" s="11">
        <v>0</v>
      </c>
      <c r="F22" s="11">
        <v>1.0990422</v>
      </c>
      <c r="G22" s="1"/>
      <c r="H22" s="13">
        <v>8008</v>
      </c>
      <c r="I22" s="13">
        <v>15</v>
      </c>
      <c r="J22" s="14">
        <v>576.65</v>
      </c>
      <c r="K22" s="13">
        <v>23.95</v>
      </c>
      <c r="L22" s="25">
        <f t="shared" si="0"/>
        <v>0</v>
      </c>
      <c r="M22" s="1"/>
    </row>
    <row r="23" spans="1:13" ht="18" customHeight="1" x14ac:dyDescent="0.3">
      <c r="A23" s="6">
        <v>8009</v>
      </c>
      <c r="B23" s="6">
        <v>15</v>
      </c>
      <c r="C23" s="6">
        <v>550.86</v>
      </c>
      <c r="D23" s="7" t="s">
        <v>6</v>
      </c>
      <c r="E23" s="6">
        <v>0</v>
      </c>
      <c r="F23" s="6">
        <v>0.73434739999999998</v>
      </c>
      <c r="G23" s="1"/>
      <c r="H23" s="8">
        <v>8009</v>
      </c>
      <c r="I23" s="8">
        <v>15</v>
      </c>
      <c r="J23" s="9">
        <v>550.86</v>
      </c>
      <c r="K23" s="8">
        <v>14.27</v>
      </c>
      <c r="L23" s="25">
        <f t="shared" si="0"/>
        <v>0</v>
      </c>
      <c r="M23" s="1"/>
    </row>
    <row r="24" spans="1:13" ht="18" customHeight="1" x14ac:dyDescent="0.3">
      <c r="A24" s="11">
        <v>8010</v>
      </c>
      <c r="B24" s="11">
        <v>15</v>
      </c>
      <c r="C24" s="11">
        <v>561.3900000000001</v>
      </c>
      <c r="D24" s="7" t="s">
        <v>6</v>
      </c>
      <c r="E24" s="11">
        <v>0</v>
      </c>
      <c r="F24" s="11">
        <v>0.77094249999999998</v>
      </c>
      <c r="G24" s="1"/>
      <c r="H24" s="13">
        <v>8010</v>
      </c>
      <c r="I24" s="13">
        <v>15</v>
      </c>
      <c r="J24" s="14">
        <v>561.39</v>
      </c>
      <c r="K24" s="13">
        <v>19.82</v>
      </c>
      <c r="L24" s="25">
        <f t="shared" si="0"/>
        <v>-2.0250955257773743E-16</v>
      </c>
      <c r="M24" s="1"/>
    </row>
    <row r="25" spans="1:13" ht="18" customHeight="1" x14ac:dyDescent="0.3">
      <c r="A25" s="6">
        <v>8011</v>
      </c>
      <c r="B25" s="6">
        <v>20</v>
      </c>
      <c r="C25" s="6">
        <v>739.74</v>
      </c>
      <c r="D25" s="7" t="s">
        <v>6</v>
      </c>
      <c r="E25" s="6">
        <v>0</v>
      </c>
      <c r="F25" s="6">
        <v>1331.2320070999999</v>
      </c>
      <c r="G25" s="1"/>
      <c r="H25" s="8">
        <v>8011</v>
      </c>
      <c r="I25" s="8">
        <v>20</v>
      </c>
      <c r="J25" s="9">
        <v>755.01</v>
      </c>
      <c r="K25" s="8">
        <v>27.5</v>
      </c>
      <c r="L25" s="25">
        <f t="shared" si="0"/>
        <v>2.0642387866006952E-2</v>
      </c>
      <c r="M25" s="1"/>
    </row>
    <row r="26" spans="1:13" ht="18" customHeight="1" x14ac:dyDescent="0.3">
      <c r="A26" s="11">
        <v>8012</v>
      </c>
      <c r="B26" s="11">
        <v>20</v>
      </c>
      <c r="C26" s="11">
        <v>609.45000000000005</v>
      </c>
      <c r="D26" s="7" t="s">
        <v>6</v>
      </c>
      <c r="E26" s="11">
        <v>0</v>
      </c>
      <c r="F26" s="11">
        <v>6.1732728000000003</v>
      </c>
      <c r="G26" s="1"/>
      <c r="H26" s="13">
        <v>8012</v>
      </c>
      <c r="I26" s="13">
        <v>20</v>
      </c>
      <c r="J26" s="14">
        <v>627.54999999999995</v>
      </c>
      <c r="K26" s="13">
        <v>38.049999999999997</v>
      </c>
      <c r="L26" s="25">
        <f t="shared" si="0"/>
        <v>2.9698908852243674E-2</v>
      </c>
      <c r="M26" s="1"/>
    </row>
    <row r="27" spans="1:13" ht="18" customHeight="1" x14ac:dyDescent="0.3">
      <c r="A27" s="6">
        <v>8013</v>
      </c>
      <c r="B27" s="6">
        <v>20</v>
      </c>
      <c r="C27" s="6">
        <v>631.5200000000001</v>
      </c>
      <c r="D27" s="7" t="s">
        <v>6</v>
      </c>
      <c r="E27" s="6">
        <v>0</v>
      </c>
      <c r="F27" s="6">
        <v>5.3161676</v>
      </c>
      <c r="G27" s="1"/>
      <c r="H27" s="8">
        <v>8013</v>
      </c>
      <c r="I27" s="8">
        <v>20</v>
      </c>
      <c r="J27" s="9">
        <v>648.26</v>
      </c>
      <c r="K27" s="8">
        <v>38.840000000000003</v>
      </c>
      <c r="L27" s="25">
        <f t="shared" si="0"/>
        <v>2.6507474030909382E-2</v>
      </c>
      <c r="M27" s="1"/>
    </row>
    <row r="28" spans="1:13" ht="18" customHeight="1" x14ac:dyDescent="0.3">
      <c r="A28" s="11">
        <v>8014</v>
      </c>
      <c r="B28" s="11">
        <v>20</v>
      </c>
      <c r="C28" s="11">
        <v>553.33000000000004</v>
      </c>
      <c r="D28" s="7" t="s">
        <v>6</v>
      </c>
      <c r="E28" s="11">
        <v>0</v>
      </c>
      <c r="F28" s="11">
        <v>7.1486299000000004</v>
      </c>
      <c r="G28" s="1"/>
      <c r="H28" s="13">
        <v>8014</v>
      </c>
      <c r="I28" s="13">
        <v>20</v>
      </c>
      <c r="J28" s="14">
        <v>592.29</v>
      </c>
      <c r="K28" s="13">
        <v>38.94</v>
      </c>
      <c r="L28" s="25">
        <f t="shared" si="0"/>
        <v>7.0410062711221008E-2</v>
      </c>
      <c r="M28" s="1"/>
    </row>
    <row r="29" spans="1:13" ht="18" customHeight="1" x14ac:dyDescent="0.3">
      <c r="A29" s="6">
        <v>8015</v>
      </c>
      <c r="B29" s="6">
        <v>20</v>
      </c>
      <c r="C29" s="6">
        <v>564.62</v>
      </c>
      <c r="D29" s="7" t="s">
        <v>6</v>
      </c>
      <c r="E29" s="6">
        <v>0</v>
      </c>
      <c r="F29" s="6">
        <v>15.2953207</v>
      </c>
      <c r="G29" s="1"/>
      <c r="H29" s="8">
        <v>8015</v>
      </c>
      <c r="I29" s="8">
        <v>20</v>
      </c>
      <c r="J29" s="9">
        <v>576.61</v>
      </c>
      <c r="K29" s="8">
        <v>35.729999999999997</v>
      </c>
      <c r="L29" s="25">
        <f t="shared" si="0"/>
        <v>2.1235521235521252E-2</v>
      </c>
      <c r="M29" s="1"/>
    </row>
    <row r="30" spans="1:13" ht="18" customHeight="1" x14ac:dyDescent="0.3">
      <c r="A30" s="11">
        <v>8016</v>
      </c>
      <c r="B30" s="11">
        <v>25</v>
      </c>
      <c r="C30" s="11">
        <v>1139.32</v>
      </c>
      <c r="D30" s="12" t="s">
        <v>7</v>
      </c>
      <c r="E30" s="11">
        <v>4.9275006144015618</v>
      </c>
      <c r="F30" s="11">
        <v>7201.9990877999999</v>
      </c>
      <c r="G30" s="1"/>
      <c r="H30" s="13">
        <v>8016</v>
      </c>
      <c r="I30" s="13">
        <v>25</v>
      </c>
      <c r="J30" s="14">
        <v>1163.48</v>
      </c>
      <c r="K30" s="13">
        <v>45.26</v>
      </c>
      <c r="L30" s="25">
        <f t="shared" si="0"/>
        <v>2.1205631429273675E-2</v>
      </c>
      <c r="M30" s="1"/>
    </row>
    <row r="31" spans="1:13" ht="18" customHeight="1" x14ac:dyDescent="0.3">
      <c r="A31" s="6">
        <v>8017</v>
      </c>
      <c r="B31" s="6">
        <v>25</v>
      </c>
      <c r="C31" s="6">
        <v>680.36</v>
      </c>
      <c r="D31" s="7" t="s">
        <v>6</v>
      </c>
      <c r="E31" s="6">
        <v>0</v>
      </c>
      <c r="F31" s="6">
        <v>5.4506923</v>
      </c>
      <c r="G31" s="1"/>
      <c r="H31" s="8">
        <v>8017</v>
      </c>
      <c r="I31" s="8">
        <v>25</v>
      </c>
      <c r="J31" s="9">
        <v>702</v>
      </c>
      <c r="K31" s="8">
        <v>63.03</v>
      </c>
      <c r="L31" s="25">
        <f t="shared" si="0"/>
        <v>3.1806690575577612E-2</v>
      </c>
      <c r="M31" s="1"/>
    </row>
    <row r="32" spans="1:13" ht="18" customHeight="1" x14ac:dyDescent="0.3">
      <c r="A32" s="11">
        <v>8018</v>
      </c>
      <c r="B32" s="11">
        <v>25</v>
      </c>
      <c r="C32" s="11">
        <v>667.34999999999991</v>
      </c>
      <c r="D32" s="7" t="s">
        <v>6</v>
      </c>
      <c r="E32" s="11">
        <v>0</v>
      </c>
      <c r="F32" s="11">
        <v>7.6314016000000002</v>
      </c>
      <c r="G32" s="1"/>
      <c r="H32" s="13">
        <v>8018</v>
      </c>
      <c r="I32" s="13">
        <v>25</v>
      </c>
      <c r="J32" s="14">
        <v>674.5</v>
      </c>
      <c r="K32" s="13">
        <v>44.42</v>
      </c>
      <c r="L32" s="25">
        <f t="shared" si="0"/>
        <v>1.0714018131415436E-2</v>
      </c>
      <c r="M32" s="1"/>
    </row>
    <row r="33" spans="1:13" ht="18" customHeight="1" x14ac:dyDescent="0.3">
      <c r="A33" s="6">
        <v>8019</v>
      </c>
      <c r="B33" s="6">
        <v>25</v>
      </c>
      <c r="C33" s="6">
        <v>622.30999999999995</v>
      </c>
      <c r="D33" s="7" t="s">
        <v>6</v>
      </c>
      <c r="E33" s="6">
        <v>0</v>
      </c>
      <c r="F33" s="6">
        <v>7.7964796999999999</v>
      </c>
      <c r="G33" s="1"/>
      <c r="H33" s="8">
        <v>8019</v>
      </c>
      <c r="I33" s="8">
        <v>25</v>
      </c>
      <c r="J33" s="9">
        <v>626.41</v>
      </c>
      <c r="K33" s="8">
        <v>30.52</v>
      </c>
      <c r="L33" s="25">
        <f t="shared" si="0"/>
        <v>6.5883562854526252E-3</v>
      </c>
      <c r="M33" s="1"/>
    </row>
    <row r="34" spans="1:13" ht="18" customHeight="1" x14ac:dyDescent="0.3">
      <c r="A34" s="11">
        <v>8020</v>
      </c>
      <c r="B34" s="11">
        <v>25</v>
      </c>
      <c r="C34" s="11">
        <v>742.24</v>
      </c>
      <c r="D34" s="7" t="s">
        <v>6</v>
      </c>
      <c r="E34" s="11">
        <v>0</v>
      </c>
      <c r="F34" s="11">
        <v>14.5221251</v>
      </c>
      <c r="G34" s="1"/>
      <c r="H34" s="13">
        <v>8020</v>
      </c>
      <c r="I34" s="13">
        <v>25</v>
      </c>
      <c r="J34" s="14">
        <v>742.24</v>
      </c>
      <c r="K34" s="13">
        <v>33.200000000000003</v>
      </c>
      <c r="L34" s="25">
        <f t="shared" si="0"/>
        <v>0</v>
      </c>
      <c r="M34" s="1"/>
    </row>
    <row r="35" spans="1:13" ht="18" customHeight="1" x14ac:dyDescent="0.3">
      <c r="A35" s="6">
        <v>8021</v>
      </c>
      <c r="B35" s="6">
        <v>30</v>
      </c>
      <c r="C35" s="6">
        <v>1009.96</v>
      </c>
      <c r="D35" s="12" t="s">
        <v>7</v>
      </c>
      <c r="E35" s="6">
        <v>6.7240286744029429</v>
      </c>
      <c r="F35" s="6">
        <v>7201.1210202000002</v>
      </c>
      <c r="G35" s="1"/>
      <c r="H35" s="8">
        <v>8021</v>
      </c>
      <c r="I35" s="8">
        <v>30</v>
      </c>
      <c r="J35" s="9">
        <v>1083.2</v>
      </c>
      <c r="K35" s="8">
        <v>71.55</v>
      </c>
      <c r="L35" s="25">
        <f t="shared" ref="L35:L66" si="1">IF(C35=0,"",(J35-C35)/C35)</f>
        <v>7.2517723474197007E-2</v>
      </c>
      <c r="M35" s="1"/>
    </row>
    <row r="36" spans="1:13" ht="18" customHeight="1" x14ac:dyDescent="0.3">
      <c r="A36" s="11">
        <v>8022</v>
      </c>
      <c r="B36" s="11">
        <v>30</v>
      </c>
      <c r="C36" s="11">
        <v>815.6</v>
      </c>
      <c r="D36" s="12" t="s">
        <v>7</v>
      </c>
      <c r="E36" s="11">
        <v>5.6951937224129532</v>
      </c>
      <c r="F36" s="11">
        <v>7201.3438237</v>
      </c>
      <c r="G36" s="1"/>
      <c r="H36" s="13">
        <v>8022</v>
      </c>
      <c r="I36" s="13">
        <v>30</v>
      </c>
      <c r="J36" s="14">
        <v>846.45</v>
      </c>
      <c r="K36" s="13">
        <v>77.41</v>
      </c>
      <c r="L36" s="25">
        <f t="shared" si="1"/>
        <v>3.7824914173614541E-2</v>
      </c>
      <c r="M36" s="1"/>
    </row>
    <row r="37" spans="1:13" ht="18" customHeight="1" x14ac:dyDescent="0.3">
      <c r="A37" s="6">
        <v>8023</v>
      </c>
      <c r="B37" s="6">
        <v>30</v>
      </c>
      <c r="C37" s="6">
        <v>692.59999999999991</v>
      </c>
      <c r="D37" s="7" t="s">
        <v>6</v>
      </c>
      <c r="E37" s="6">
        <v>0</v>
      </c>
      <c r="F37" s="6">
        <v>207.84142979999999</v>
      </c>
      <c r="G37" s="1"/>
      <c r="H37" s="8">
        <v>8023</v>
      </c>
      <c r="I37" s="8">
        <v>30</v>
      </c>
      <c r="J37" s="9">
        <v>729.84</v>
      </c>
      <c r="K37" s="8">
        <v>70.64</v>
      </c>
      <c r="L37" s="25">
        <f t="shared" si="1"/>
        <v>5.3768408894022707E-2</v>
      </c>
      <c r="M37" s="1"/>
    </row>
    <row r="38" spans="1:13" ht="18" customHeight="1" x14ac:dyDescent="0.3">
      <c r="A38" s="11">
        <v>8024</v>
      </c>
      <c r="B38" s="11">
        <v>30</v>
      </c>
      <c r="C38" s="11">
        <v>659.83</v>
      </c>
      <c r="D38" s="7" t="s">
        <v>6</v>
      </c>
      <c r="E38" s="11">
        <v>0</v>
      </c>
      <c r="F38" s="11">
        <v>82.235892899999996</v>
      </c>
      <c r="G38" s="1"/>
      <c r="H38" s="13">
        <v>8024</v>
      </c>
      <c r="I38" s="13">
        <v>30</v>
      </c>
      <c r="J38" s="14">
        <v>700.73</v>
      </c>
      <c r="K38" s="13">
        <v>80.989999999999995</v>
      </c>
      <c r="L38" s="25">
        <f t="shared" si="1"/>
        <v>6.1985662973796242E-2</v>
      </c>
      <c r="M38" s="1"/>
    </row>
    <row r="39" spans="1:13" ht="18" customHeight="1" x14ac:dyDescent="0.3">
      <c r="A39" s="6">
        <v>8025</v>
      </c>
      <c r="B39" s="6">
        <v>30</v>
      </c>
      <c r="C39" s="6">
        <v>890.65999999999985</v>
      </c>
      <c r="D39" s="12" t="s">
        <v>7</v>
      </c>
      <c r="E39" s="6">
        <v>2.230929872229571</v>
      </c>
      <c r="F39" s="6">
        <v>7201.2949546</v>
      </c>
      <c r="G39" s="1"/>
      <c r="H39" s="8">
        <v>8025</v>
      </c>
      <c r="I39" s="8">
        <v>30</v>
      </c>
      <c r="J39" s="9">
        <v>908.62</v>
      </c>
      <c r="K39" s="8">
        <v>72.430000000000007</v>
      </c>
      <c r="L39" s="25">
        <f t="shared" si="1"/>
        <v>2.0164821592976168E-2</v>
      </c>
      <c r="M39" s="1"/>
    </row>
    <row r="40" spans="1:13" ht="18" customHeight="1" x14ac:dyDescent="0.3">
      <c r="A40" s="11">
        <v>8026</v>
      </c>
      <c r="B40" s="11">
        <v>10</v>
      </c>
      <c r="C40" s="11">
        <v>696.53</v>
      </c>
      <c r="D40" s="7" t="s">
        <v>6</v>
      </c>
      <c r="E40" s="11">
        <v>0</v>
      </c>
      <c r="F40" s="11">
        <v>5.4353167999999998</v>
      </c>
      <c r="G40" s="1"/>
      <c r="H40" s="13">
        <v>8026</v>
      </c>
      <c r="I40" s="13">
        <v>10</v>
      </c>
      <c r="J40" s="14">
        <v>696.53</v>
      </c>
      <c r="K40" s="13">
        <v>8.35</v>
      </c>
      <c r="L40" s="25">
        <f t="shared" si="1"/>
        <v>0</v>
      </c>
      <c r="M40" s="1"/>
    </row>
    <row r="41" spans="1:13" ht="18" customHeight="1" x14ac:dyDescent="0.3">
      <c r="A41" s="6">
        <v>8027</v>
      </c>
      <c r="B41" s="6">
        <v>10</v>
      </c>
      <c r="C41" s="6">
        <v>575.06999999999994</v>
      </c>
      <c r="D41" s="7" t="s">
        <v>6</v>
      </c>
      <c r="E41" s="6">
        <v>0</v>
      </c>
      <c r="F41" s="6">
        <v>0.75328189999999995</v>
      </c>
      <c r="G41" s="1"/>
      <c r="H41" s="8">
        <v>8027</v>
      </c>
      <c r="I41" s="8">
        <v>10</v>
      </c>
      <c r="J41" s="9">
        <v>575.07000000000005</v>
      </c>
      <c r="K41" s="8">
        <v>6.64</v>
      </c>
      <c r="L41" s="25">
        <f t="shared" si="1"/>
        <v>1.976921726426627E-16</v>
      </c>
      <c r="M41" s="1"/>
    </row>
    <row r="42" spans="1:13" ht="18" customHeight="1" x14ac:dyDescent="0.3">
      <c r="A42" s="11">
        <v>8028</v>
      </c>
      <c r="B42" s="11">
        <v>10</v>
      </c>
      <c r="C42" s="11">
        <v>463.01</v>
      </c>
      <c r="D42" s="7" t="s">
        <v>6</v>
      </c>
      <c r="E42" s="11">
        <v>0</v>
      </c>
      <c r="F42" s="11">
        <v>0.53640120000000002</v>
      </c>
      <c r="G42" s="1"/>
      <c r="H42" s="13">
        <v>8028</v>
      </c>
      <c r="I42" s="13">
        <v>10</v>
      </c>
      <c r="J42" s="14">
        <v>463.01</v>
      </c>
      <c r="K42" s="13">
        <v>13.75</v>
      </c>
      <c r="L42" s="25">
        <f t="shared" si="1"/>
        <v>0</v>
      </c>
      <c r="M42" s="1"/>
    </row>
    <row r="43" spans="1:13" ht="18" customHeight="1" x14ac:dyDescent="0.3">
      <c r="A43" s="6">
        <v>8029</v>
      </c>
      <c r="B43" s="6">
        <v>10</v>
      </c>
      <c r="C43" s="6">
        <v>522.51</v>
      </c>
      <c r="D43" s="7" t="s">
        <v>6</v>
      </c>
      <c r="E43" s="6">
        <v>0</v>
      </c>
      <c r="F43" s="6">
        <v>0.74381529999999996</v>
      </c>
      <c r="G43" s="1"/>
      <c r="H43" s="8">
        <v>8029</v>
      </c>
      <c r="I43" s="8">
        <v>10</v>
      </c>
      <c r="J43" s="9">
        <v>522.51</v>
      </c>
      <c r="K43" s="8">
        <v>12.27</v>
      </c>
      <c r="L43" s="25">
        <f t="shared" si="1"/>
        <v>0</v>
      </c>
      <c r="M43" s="1"/>
    </row>
    <row r="44" spans="1:13" ht="18" customHeight="1" x14ac:dyDescent="0.3">
      <c r="A44" s="11">
        <v>8030</v>
      </c>
      <c r="B44" s="11">
        <v>10</v>
      </c>
      <c r="C44" s="11">
        <v>473.33999999999992</v>
      </c>
      <c r="D44" s="7" t="s">
        <v>6</v>
      </c>
      <c r="E44" s="11">
        <v>0</v>
      </c>
      <c r="F44" s="11">
        <v>2.9609773000000001</v>
      </c>
      <c r="G44" s="1"/>
      <c r="H44" s="13">
        <v>8030</v>
      </c>
      <c r="I44" s="13">
        <v>10</v>
      </c>
      <c r="J44" s="14">
        <v>492.34</v>
      </c>
      <c r="K44" s="13">
        <v>10.74</v>
      </c>
      <c r="L44" s="25">
        <f t="shared" si="1"/>
        <v>4.0140279714370349E-2</v>
      </c>
      <c r="M44" s="1"/>
    </row>
    <row r="45" spans="1:13" ht="18" customHeight="1" x14ac:dyDescent="0.3">
      <c r="A45" s="6">
        <v>8031</v>
      </c>
      <c r="B45" s="6">
        <v>15</v>
      </c>
      <c r="C45" s="6">
        <v>849.76</v>
      </c>
      <c r="D45" s="7" t="s">
        <v>6</v>
      </c>
      <c r="E45" s="6">
        <v>0</v>
      </c>
      <c r="F45" s="6">
        <v>57.649862300000002</v>
      </c>
      <c r="G45" s="1"/>
      <c r="H45" s="8">
        <v>8031</v>
      </c>
      <c r="I45" s="8">
        <v>15</v>
      </c>
      <c r="J45" s="9">
        <v>850.66</v>
      </c>
      <c r="K45" s="8">
        <v>10.119999999999999</v>
      </c>
      <c r="L45" s="25">
        <f t="shared" si="1"/>
        <v>1.0591225757860775E-3</v>
      </c>
      <c r="M45" s="1"/>
    </row>
    <row r="46" spans="1:13" ht="18" customHeight="1" x14ac:dyDescent="0.3">
      <c r="A46" s="11">
        <v>8032</v>
      </c>
      <c r="B46" s="11">
        <v>15</v>
      </c>
      <c r="C46" s="11">
        <v>542.24</v>
      </c>
      <c r="D46" s="7" t="s">
        <v>6</v>
      </c>
      <c r="E46" s="11">
        <v>0</v>
      </c>
      <c r="F46" s="11">
        <v>1.1643193000000001</v>
      </c>
      <c r="G46" s="1"/>
      <c r="H46" s="13">
        <v>8032</v>
      </c>
      <c r="I46" s="13">
        <v>15</v>
      </c>
      <c r="J46" s="14">
        <v>542.24</v>
      </c>
      <c r="K46" s="13">
        <v>12.77</v>
      </c>
      <c r="L46" s="25">
        <f t="shared" si="1"/>
        <v>0</v>
      </c>
      <c r="M46" s="1"/>
    </row>
    <row r="47" spans="1:13" ht="18" customHeight="1" x14ac:dyDescent="0.3">
      <c r="A47" s="6">
        <v>8033</v>
      </c>
      <c r="B47" s="6">
        <v>15</v>
      </c>
      <c r="C47" s="6">
        <v>687.03999999999985</v>
      </c>
      <c r="D47" s="7" t="s">
        <v>6</v>
      </c>
      <c r="E47" s="6">
        <v>0</v>
      </c>
      <c r="F47" s="6">
        <v>127.9193509</v>
      </c>
      <c r="G47" s="1"/>
      <c r="H47" s="8">
        <v>8033</v>
      </c>
      <c r="I47" s="8">
        <v>15</v>
      </c>
      <c r="J47" s="9">
        <v>693.33</v>
      </c>
      <c r="K47" s="8">
        <v>20.399999999999999</v>
      </c>
      <c r="L47" s="25">
        <f t="shared" si="1"/>
        <v>9.1552165812764791E-3</v>
      </c>
      <c r="M47" s="1"/>
    </row>
    <row r="48" spans="1:13" ht="18" customHeight="1" x14ac:dyDescent="0.3">
      <c r="A48" s="11">
        <v>8034</v>
      </c>
      <c r="B48" s="11">
        <v>15</v>
      </c>
      <c r="C48" s="11">
        <v>676.7</v>
      </c>
      <c r="D48" s="7" t="s">
        <v>6</v>
      </c>
      <c r="E48" s="11">
        <v>0</v>
      </c>
      <c r="F48" s="11">
        <v>2.7072014000000002</v>
      </c>
      <c r="G48" s="1"/>
      <c r="H48" s="13">
        <v>8034</v>
      </c>
      <c r="I48" s="13">
        <v>15</v>
      </c>
      <c r="J48" s="14">
        <v>676.7</v>
      </c>
      <c r="K48" s="13">
        <v>12.31</v>
      </c>
      <c r="L48" s="25">
        <f t="shared" si="1"/>
        <v>0</v>
      </c>
      <c r="M48" s="1"/>
    </row>
    <row r="49" spans="1:13" ht="18" customHeight="1" x14ac:dyDescent="0.3">
      <c r="A49" s="6">
        <v>8035</v>
      </c>
      <c r="B49" s="6">
        <v>15</v>
      </c>
      <c r="C49" s="6">
        <v>618.48</v>
      </c>
      <c r="D49" s="7" t="s">
        <v>6</v>
      </c>
      <c r="E49" s="6">
        <v>0</v>
      </c>
      <c r="F49" s="6">
        <v>5.5553914000000004</v>
      </c>
      <c r="G49" s="1"/>
      <c r="H49" s="8">
        <v>8035</v>
      </c>
      <c r="I49" s="8">
        <v>15</v>
      </c>
      <c r="J49" s="9">
        <v>618.48</v>
      </c>
      <c r="K49" s="8">
        <v>24.48</v>
      </c>
      <c r="L49" s="25">
        <f t="shared" si="1"/>
        <v>0</v>
      </c>
      <c r="M49" s="1"/>
    </row>
    <row r="50" spans="1:13" ht="18" customHeight="1" x14ac:dyDescent="0.3">
      <c r="A50" s="11">
        <v>8036</v>
      </c>
      <c r="B50" s="11">
        <v>20</v>
      </c>
      <c r="C50" s="11">
        <v>1172.42</v>
      </c>
      <c r="D50" s="12" t="s">
        <v>7</v>
      </c>
      <c r="E50" s="11">
        <v>2.5494276795005288</v>
      </c>
      <c r="F50" s="11">
        <v>7202.4894193</v>
      </c>
      <c r="G50" s="1"/>
      <c r="H50" s="13">
        <v>8036</v>
      </c>
      <c r="I50" s="13">
        <v>20</v>
      </c>
      <c r="J50" s="14">
        <v>1228.53</v>
      </c>
      <c r="K50" s="13">
        <v>30.91</v>
      </c>
      <c r="L50" s="25">
        <f t="shared" si="1"/>
        <v>4.7858276044420854E-2</v>
      </c>
      <c r="M50" s="1"/>
    </row>
    <row r="51" spans="1:13" ht="18" customHeight="1" x14ac:dyDescent="0.3">
      <c r="A51" s="6">
        <v>8037</v>
      </c>
      <c r="B51" s="6">
        <v>20</v>
      </c>
      <c r="C51" s="6">
        <v>575.36000000000013</v>
      </c>
      <c r="D51" s="7" t="s">
        <v>6</v>
      </c>
      <c r="E51" s="6">
        <v>0</v>
      </c>
      <c r="F51" s="6">
        <v>267.52836730000001</v>
      </c>
      <c r="G51" s="1"/>
      <c r="H51" s="8">
        <v>8037</v>
      </c>
      <c r="I51" s="8">
        <v>20</v>
      </c>
      <c r="J51" s="9">
        <v>596.19000000000005</v>
      </c>
      <c r="K51" s="8">
        <v>32.56</v>
      </c>
      <c r="L51" s="25">
        <f t="shared" si="1"/>
        <v>3.6203420467185631E-2</v>
      </c>
      <c r="M51" s="1"/>
    </row>
    <row r="52" spans="1:13" ht="18" customHeight="1" x14ac:dyDescent="0.3">
      <c r="A52" s="11">
        <v>8038</v>
      </c>
      <c r="B52" s="11">
        <v>20</v>
      </c>
      <c r="C52" s="11">
        <v>886.7399999999999</v>
      </c>
      <c r="D52" s="7" t="s">
        <v>6</v>
      </c>
      <c r="E52" s="11">
        <v>0</v>
      </c>
      <c r="F52" s="11">
        <v>101.70612060000001</v>
      </c>
      <c r="G52" s="1"/>
      <c r="H52" s="13">
        <v>8038</v>
      </c>
      <c r="I52" s="13">
        <v>20</v>
      </c>
      <c r="J52" s="14">
        <v>919.28</v>
      </c>
      <c r="K52" s="13">
        <v>25.28</v>
      </c>
      <c r="L52" s="25">
        <f t="shared" si="1"/>
        <v>3.6696213095157637E-2</v>
      </c>
      <c r="M52" s="1"/>
    </row>
    <row r="53" spans="1:13" ht="18" customHeight="1" x14ac:dyDescent="0.3">
      <c r="A53" s="6">
        <v>8039</v>
      </c>
      <c r="B53" s="6">
        <v>20</v>
      </c>
      <c r="C53" s="6">
        <v>755.6</v>
      </c>
      <c r="D53" s="7" t="s">
        <v>6</v>
      </c>
      <c r="E53" s="6">
        <v>0</v>
      </c>
      <c r="F53" s="6">
        <v>212.18286079999999</v>
      </c>
      <c r="G53" s="1"/>
      <c r="H53" s="8">
        <v>8039</v>
      </c>
      <c r="I53" s="8">
        <v>20</v>
      </c>
      <c r="J53" s="9">
        <v>760.64</v>
      </c>
      <c r="K53" s="8">
        <v>29.9</v>
      </c>
      <c r="L53" s="25">
        <f t="shared" si="1"/>
        <v>6.6701958708310794E-3</v>
      </c>
      <c r="M53" s="1"/>
    </row>
    <row r="54" spans="1:13" ht="18" customHeight="1" x14ac:dyDescent="0.3">
      <c r="A54" s="11">
        <v>8040</v>
      </c>
      <c r="B54" s="11">
        <v>20</v>
      </c>
      <c r="C54" s="11">
        <v>759.09999999999991</v>
      </c>
      <c r="D54" s="7" t="s">
        <v>6</v>
      </c>
      <c r="E54" s="11">
        <v>0</v>
      </c>
      <c r="F54" s="11">
        <v>126.82433399999999</v>
      </c>
      <c r="G54" s="1"/>
      <c r="H54" s="13">
        <v>8040</v>
      </c>
      <c r="I54" s="13">
        <v>20</v>
      </c>
      <c r="J54" s="14">
        <v>790.15</v>
      </c>
      <c r="K54" s="13">
        <v>28.48</v>
      </c>
      <c r="L54" s="25">
        <f t="shared" si="1"/>
        <v>4.0903701752074917E-2</v>
      </c>
      <c r="M54" s="1"/>
    </row>
    <row r="55" spans="1:13" ht="18" customHeight="1" x14ac:dyDescent="0.3">
      <c r="A55" s="6">
        <v>8041</v>
      </c>
      <c r="B55" s="6">
        <v>25</v>
      </c>
      <c r="C55" s="6">
        <v>853.31999999999994</v>
      </c>
      <c r="D55" s="7" t="s">
        <v>6</v>
      </c>
      <c r="E55" s="6">
        <v>0</v>
      </c>
      <c r="F55" s="6">
        <v>851.07581440000001</v>
      </c>
      <c r="G55" s="1"/>
      <c r="H55" s="8">
        <v>8041</v>
      </c>
      <c r="I55" s="8">
        <v>25</v>
      </c>
      <c r="J55" s="9">
        <v>857.83</v>
      </c>
      <c r="K55" s="8">
        <v>28.51</v>
      </c>
      <c r="L55" s="25">
        <f t="shared" si="1"/>
        <v>5.285238831856871E-3</v>
      </c>
      <c r="M55" s="1"/>
    </row>
    <row r="56" spans="1:13" ht="18" customHeight="1" x14ac:dyDescent="0.3">
      <c r="A56" s="11">
        <v>8042</v>
      </c>
      <c r="B56" s="11">
        <v>25</v>
      </c>
      <c r="C56" s="11">
        <v>935.81</v>
      </c>
      <c r="D56" s="12" t="s">
        <v>7</v>
      </c>
      <c r="E56" s="11">
        <v>0.73946634466397665</v>
      </c>
      <c r="F56" s="11">
        <v>7203.2561073999996</v>
      </c>
      <c r="G56" s="1"/>
      <c r="H56" s="13">
        <v>8042</v>
      </c>
      <c r="I56" s="13">
        <v>25</v>
      </c>
      <c r="J56" s="14">
        <v>942.41</v>
      </c>
      <c r="K56" s="13">
        <v>45.55</v>
      </c>
      <c r="L56" s="25">
        <f t="shared" si="1"/>
        <v>7.0527136918819237E-3</v>
      </c>
      <c r="M56" s="1"/>
    </row>
    <row r="57" spans="1:13" ht="18" customHeight="1" x14ac:dyDescent="0.3">
      <c r="A57" s="6">
        <v>8043</v>
      </c>
      <c r="B57" s="6">
        <v>25</v>
      </c>
      <c r="C57" s="6">
        <v>909.83</v>
      </c>
      <c r="D57" s="7" t="s">
        <v>6</v>
      </c>
      <c r="E57" s="6">
        <v>0</v>
      </c>
      <c r="F57" s="6">
        <v>6692.8860678999999</v>
      </c>
      <c r="G57" s="1"/>
      <c r="H57" s="8">
        <v>8043</v>
      </c>
      <c r="I57" s="8">
        <v>25</v>
      </c>
      <c r="J57" s="9">
        <v>926.63</v>
      </c>
      <c r="K57" s="8">
        <v>51.73</v>
      </c>
      <c r="L57" s="25">
        <f t="shared" si="1"/>
        <v>1.8464987964784581E-2</v>
      </c>
      <c r="M57" s="1"/>
    </row>
    <row r="58" spans="1:13" ht="18" customHeight="1" x14ac:dyDescent="0.3">
      <c r="A58" s="11">
        <v>8044</v>
      </c>
      <c r="B58" s="11">
        <v>25</v>
      </c>
      <c r="C58" s="11">
        <v>885.27</v>
      </c>
      <c r="D58" s="7" t="s">
        <v>6</v>
      </c>
      <c r="E58" s="11">
        <v>0</v>
      </c>
      <c r="F58" s="11">
        <v>551.83060939999996</v>
      </c>
      <c r="G58" s="1"/>
      <c r="H58" s="13">
        <v>8044</v>
      </c>
      <c r="I58" s="13">
        <v>25</v>
      </c>
      <c r="J58" s="14">
        <v>918.19</v>
      </c>
      <c r="K58" s="13">
        <v>48.77</v>
      </c>
      <c r="L58" s="25">
        <f t="shared" si="1"/>
        <v>3.7186395111096129E-2</v>
      </c>
      <c r="M58" s="1"/>
    </row>
    <row r="59" spans="1:13" ht="18" customHeight="1" x14ac:dyDescent="0.3">
      <c r="A59" s="6">
        <v>8045</v>
      </c>
      <c r="B59" s="6">
        <v>25</v>
      </c>
      <c r="C59" s="6">
        <v>879.18999999999994</v>
      </c>
      <c r="D59" s="7" t="s">
        <v>6</v>
      </c>
      <c r="E59" s="6">
        <v>0</v>
      </c>
      <c r="F59" s="6">
        <v>6512.6125554999999</v>
      </c>
      <c r="G59" s="1"/>
      <c r="H59" s="8">
        <v>8045</v>
      </c>
      <c r="I59" s="8">
        <v>25</v>
      </c>
      <c r="J59" s="9">
        <v>935.82</v>
      </c>
      <c r="K59" s="8">
        <v>49.08</v>
      </c>
      <c r="L59" s="25">
        <f t="shared" si="1"/>
        <v>6.4411560641044724E-2</v>
      </c>
      <c r="M59" s="1"/>
    </row>
    <row r="60" spans="1:13" ht="18" customHeight="1" x14ac:dyDescent="0.3">
      <c r="A60" s="11">
        <v>8046</v>
      </c>
      <c r="B60" s="11">
        <v>30</v>
      </c>
      <c r="C60" s="11">
        <v>1620.94</v>
      </c>
      <c r="D60" s="12" t="s">
        <v>7</v>
      </c>
      <c r="E60" s="11">
        <v>11.445210803607781</v>
      </c>
      <c r="F60" s="11">
        <v>7200.9239359000003</v>
      </c>
      <c r="G60" s="1"/>
      <c r="H60" s="13">
        <v>8046</v>
      </c>
      <c r="I60" s="13">
        <v>30</v>
      </c>
      <c r="J60" s="14">
        <v>1735.18</v>
      </c>
      <c r="K60" s="13">
        <v>53.07</v>
      </c>
      <c r="L60" s="25">
        <f t="shared" si="1"/>
        <v>7.0477624094661129E-2</v>
      </c>
      <c r="M60" s="1"/>
    </row>
    <row r="61" spans="1:13" ht="18" customHeight="1" x14ac:dyDescent="0.3">
      <c r="A61" s="6">
        <v>8047</v>
      </c>
      <c r="B61" s="6">
        <v>30</v>
      </c>
      <c r="C61" s="6">
        <v>936.06</v>
      </c>
      <c r="D61" s="12" t="s">
        <v>7</v>
      </c>
      <c r="E61" s="6">
        <v>11.51742409674593</v>
      </c>
      <c r="F61" s="6">
        <v>7201.7496578</v>
      </c>
      <c r="G61" s="1"/>
      <c r="H61" s="8">
        <v>8047</v>
      </c>
      <c r="I61" s="8">
        <v>30</v>
      </c>
      <c r="J61" s="9">
        <v>951.86</v>
      </c>
      <c r="K61" s="8">
        <v>70.55</v>
      </c>
      <c r="L61" s="25">
        <f t="shared" si="1"/>
        <v>1.6879259876503717E-2</v>
      </c>
      <c r="M61" s="1"/>
    </row>
    <row r="62" spans="1:13" ht="18" customHeight="1" x14ac:dyDescent="0.3">
      <c r="A62" s="11">
        <v>8048</v>
      </c>
      <c r="B62" s="11">
        <v>30</v>
      </c>
      <c r="C62" s="11">
        <v>1097.67</v>
      </c>
      <c r="D62" s="12" t="s">
        <v>7</v>
      </c>
      <c r="E62" s="11">
        <v>10.64891998505925</v>
      </c>
      <c r="F62" s="11">
        <v>7201.8316179000003</v>
      </c>
      <c r="G62" s="1"/>
      <c r="H62" s="13">
        <v>8048</v>
      </c>
      <c r="I62" s="13">
        <v>30</v>
      </c>
      <c r="J62" s="14">
        <v>1185.82</v>
      </c>
      <c r="K62" s="13">
        <v>58.51</v>
      </c>
      <c r="L62" s="25">
        <f t="shared" si="1"/>
        <v>8.0306467335355666E-2</v>
      </c>
      <c r="M62" s="1"/>
    </row>
    <row r="63" spans="1:13" ht="18" customHeight="1" x14ac:dyDescent="0.3">
      <c r="A63" s="6">
        <v>8049</v>
      </c>
      <c r="B63" s="6">
        <v>30</v>
      </c>
      <c r="C63" s="6">
        <v>908.16999999999985</v>
      </c>
      <c r="D63" s="12" t="s">
        <v>7</v>
      </c>
      <c r="E63" s="6">
        <v>6.0120902474206162</v>
      </c>
      <c r="F63" s="6">
        <v>7202.4706253000004</v>
      </c>
      <c r="G63" s="1"/>
      <c r="H63" s="8">
        <v>8049</v>
      </c>
      <c r="I63" s="8">
        <v>30</v>
      </c>
      <c r="J63" s="9">
        <v>1016.48</v>
      </c>
      <c r="K63" s="8">
        <v>70.540000000000006</v>
      </c>
      <c r="L63" s="25">
        <f t="shared" si="1"/>
        <v>0.1192618122157748</v>
      </c>
      <c r="M63" s="1"/>
    </row>
    <row r="64" spans="1:13" ht="18" customHeight="1" x14ac:dyDescent="0.3">
      <c r="A64" s="11">
        <v>8050</v>
      </c>
      <c r="B64" s="11">
        <v>30</v>
      </c>
      <c r="C64" s="11">
        <v>976.49</v>
      </c>
      <c r="D64" s="12" t="s">
        <v>7</v>
      </c>
      <c r="E64" s="11">
        <v>5.7624758062038506</v>
      </c>
      <c r="F64" s="11">
        <v>7201.6051928999996</v>
      </c>
      <c r="G64" s="1"/>
      <c r="H64" s="13">
        <v>8050</v>
      </c>
      <c r="I64" s="13">
        <v>30</v>
      </c>
      <c r="J64" s="14">
        <v>1077.42</v>
      </c>
      <c r="K64" s="13">
        <v>65.400000000000006</v>
      </c>
      <c r="L64" s="25">
        <f t="shared" si="1"/>
        <v>0.10335999344591348</v>
      </c>
      <c r="M64" s="1"/>
    </row>
    <row r="65" spans="1:13" ht="18" customHeight="1" x14ac:dyDescent="0.3">
      <c r="A65" s="6">
        <v>8051</v>
      </c>
      <c r="B65" s="6">
        <v>10</v>
      </c>
      <c r="C65" s="6">
        <v>457.59</v>
      </c>
      <c r="D65" s="7" t="s">
        <v>6</v>
      </c>
      <c r="E65" s="6">
        <v>0</v>
      </c>
      <c r="F65" s="6">
        <v>2.8688253000000001</v>
      </c>
      <c r="G65" s="1"/>
      <c r="H65" s="8">
        <v>8051</v>
      </c>
      <c r="I65" s="8">
        <v>10</v>
      </c>
      <c r="J65" s="9">
        <v>458.14</v>
      </c>
      <c r="K65" s="8">
        <v>12.8</v>
      </c>
      <c r="L65" s="25">
        <f t="shared" si="1"/>
        <v>1.201949343298611E-3</v>
      </c>
      <c r="M65" s="1"/>
    </row>
    <row r="66" spans="1:13" ht="18" customHeight="1" x14ac:dyDescent="0.3">
      <c r="A66" s="11">
        <v>8052</v>
      </c>
      <c r="B66" s="11">
        <v>10</v>
      </c>
      <c r="C66" s="11">
        <v>460.01</v>
      </c>
      <c r="D66" s="7" t="s">
        <v>6</v>
      </c>
      <c r="E66" s="11">
        <v>0</v>
      </c>
      <c r="F66" s="11">
        <v>0.30848120000000001</v>
      </c>
      <c r="G66" s="1"/>
      <c r="H66" s="13">
        <v>8052</v>
      </c>
      <c r="I66" s="13">
        <v>10</v>
      </c>
      <c r="J66" s="14">
        <v>460.01</v>
      </c>
      <c r="K66" s="13">
        <v>11.73</v>
      </c>
      <c r="L66" s="25">
        <f t="shared" si="1"/>
        <v>0</v>
      </c>
      <c r="M66" s="1"/>
    </row>
    <row r="67" spans="1:13" ht="18" customHeight="1" x14ac:dyDescent="0.3">
      <c r="A67" s="6">
        <v>8053</v>
      </c>
      <c r="B67" s="6">
        <v>10</v>
      </c>
      <c r="C67" s="6">
        <v>436.36</v>
      </c>
      <c r="D67" s="7" t="s">
        <v>6</v>
      </c>
      <c r="E67" s="6">
        <v>0</v>
      </c>
      <c r="F67" s="6">
        <v>0.28496490000000002</v>
      </c>
      <c r="G67" s="1"/>
      <c r="H67" s="8">
        <v>8053</v>
      </c>
      <c r="I67" s="8">
        <v>10</v>
      </c>
      <c r="J67" s="9">
        <v>436.36</v>
      </c>
      <c r="K67" s="8">
        <v>13.54</v>
      </c>
      <c r="L67" s="25">
        <f t="shared" ref="L67:L98" si="2">IF(C67=0,"",(J67-C67)/C67)</f>
        <v>0</v>
      </c>
      <c r="M67" s="1"/>
    </row>
    <row r="68" spans="1:13" ht="18" customHeight="1" x14ac:dyDescent="0.3">
      <c r="A68" s="11">
        <v>8054</v>
      </c>
      <c r="B68" s="11">
        <v>10</v>
      </c>
      <c r="C68" s="11">
        <v>441.22</v>
      </c>
      <c r="D68" s="7" t="s">
        <v>6</v>
      </c>
      <c r="E68" s="11">
        <v>0</v>
      </c>
      <c r="F68" s="11">
        <v>0.3195038</v>
      </c>
      <c r="G68" s="1"/>
      <c r="H68" s="13">
        <v>8054</v>
      </c>
      <c r="I68" s="13">
        <v>10</v>
      </c>
      <c r="J68" s="14">
        <v>441.22</v>
      </c>
      <c r="K68" s="13">
        <v>10.93</v>
      </c>
      <c r="L68" s="25">
        <f t="shared" si="2"/>
        <v>0</v>
      </c>
      <c r="M68" s="1"/>
    </row>
    <row r="69" spans="1:13" ht="18" customHeight="1" x14ac:dyDescent="0.3">
      <c r="A69" s="6">
        <v>8055</v>
      </c>
      <c r="B69" s="6">
        <v>10</v>
      </c>
      <c r="C69" s="6">
        <v>373.39</v>
      </c>
      <c r="D69" s="7" t="s">
        <v>6</v>
      </c>
      <c r="E69" s="6">
        <v>0</v>
      </c>
      <c r="F69" s="6">
        <v>0.18829360000000001</v>
      </c>
      <c r="G69" s="1"/>
      <c r="H69" s="8">
        <v>8055</v>
      </c>
      <c r="I69" s="8">
        <v>10</v>
      </c>
      <c r="J69" s="9">
        <v>373.39</v>
      </c>
      <c r="K69" s="8">
        <v>6.69</v>
      </c>
      <c r="L69" s="25">
        <f t="shared" si="2"/>
        <v>0</v>
      </c>
      <c r="M69" s="1"/>
    </row>
    <row r="70" spans="1:13" ht="18" customHeight="1" x14ac:dyDescent="0.3">
      <c r="A70" s="11">
        <v>8056</v>
      </c>
      <c r="B70" s="11">
        <v>15</v>
      </c>
      <c r="C70" s="11">
        <v>550.46</v>
      </c>
      <c r="D70" s="7" t="s">
        <v>6</v>
      </c>
      <c r="E70" s="11">
        <v>0</v>
      </c>
      <c r="F70" s="11">
        <v>30.676159999999999</v>
      </c>
      <c r="G70" s="1"/>
      <c r="H70" s="13">
        <v>8056</v>
      </c>
      <c r="I70" s="13">
        <v>15</v>
      </c>
      <c r="J70" s="14">
        <v>591.79999999999995</v>
      </c>
      <c r="K70" s="13">
        <v>20.16</v>
      </c>
      <c r="L70" s="25">
        <f t="shared" si="2"/>
        <v>7.5100824764742058E-2</v>
      </c>
      <c r="M70" s="1"/>
    </row>
    <row r="71" spans="1:13" ht="18" customHeight="1" x14ac:dyDescent="0.3">
      <c r="A71" s="6">
        <v>8057</v>
      </c>
      <c r="B71" s="6">
        <v>15</v>
      </c>
      <c r="C71" s="6">
        <v>440.66</v>
      </c>
      <c r="D71" s="7" t="s">
        <v>6</v>
      </c>
      <c r="E71" s="6">
        <v>0</v>
      </c>
      <c r="F71" s="6">
        <v>2.3314620000000001</v>
      </c>
      <c r="G71" s="1"/>
      <c r="H71" s="8">
        <v>8057</v>
      </c>
      <c r="I71" s="8">
        <v>15</v>
      </c>
      <c r="J71" s="9">
        <v>441.29</v>
      </c>
      <c r="K71" s="8">
        <v>19.14</v>
      </c>
      <c r="L71" s="25">
        <f t="shared" si="2"/>
        <v>1.4296736713112046E-3</v>
      </c>
      <c r="M71" s="1"/>
    </row>
    <row r="72" spans="1:13" ht="18" customHeight="1" x14ac:dyDescent="0.3">
      <c r="A72" s="11">
        <v>8058</v>
      </c>
      <c r="B72" s="11">
        <v>15</v>
      </c>
      <c r="C72" s="11">
        <v>437.12</v>
      </c>
      <c r="D72" s="7" t="s">
        <v>6</v>
      </c>
      <c r="E72" s="11">
        <v>0</v>
      </c>
      <c r="F72" s="11">
        <v>0.87601569999999995</v>
      </c>
      <c r="G72" s="1"/>
      <c r="H72" s="13">
        <v>8058</v>
      </c>
      <c r="I72" s="13">
        <v>15</v>
      </c>
      <c r="J72" s="14">
        <v>437.12</v>
      </c>
      <c r="K72" s="13">
        <v>22.57</v>
      </c>
      <c r="L72" s="25">
        <f t="shared" si="2"/>
        <v>0</v>
      </c>
      <c r="M72" s="1"/>
    </row>
    <row r="73" spans="1:13" ht="18" customHeight="1" x14ac:dyDescent="0.3">
      <c r="A73" s="6">
        <v>8059</v>
      </c>
      <c r="B73" s="6">
        <v>15</v>
      </c>
      <c r="C73" s="6">
        <v>400.43000000000012</v>
      </c>
      <c r="D73" s="7" t="s">
        <v>6</v>
      </c>
      <c r="E73" s="6">
        <v>0</v>
      </c>
      <c r="F73" s="6">
        <v>0.83140700000000001</v>
      </c>
      <c r="G73" s="1"/>
      <c r="H73" s="8">
        <v>8059</v>
      </c>
      <c r="I73" s="8">
        <v>15</v>
      </c>
      <c r="J73" s="9">
        <v>400.43</v>
      </c>
      <c r="K73" s="8">
        <v>20.67</v>
      </c>
      <c r="L73" s="25">
        <f t="shared" si="2"/>
        <v>-2.8391188902333988E-16</v>
      </c>
      <c r="M73" s="1"/>
    </row>
    <row r="74" spans="1:13" ht="18" customHeight="1" x14ac:dyDescent="0.3">
      <c r="A74" s="11">
        <v>8060</v>
      </c>
      <c r="B74" s="11">
        <v>15</v>
      </c>
      <c r="C74" s="11">
        <v>416.77</v>
      </c>
      <c r="D74" s="7" t="s">
        <v>6</v>
      </c>
      <c r="E74" s="11">
        <v>0</v>
      </c>
      <c r="F74" s="11">
        <v>2.1057413999999999</v>
      </c>
      <c r="G74" s="1"/>
      <c r="H74" s="13">
        <v>8060</v>
      </c>
      <c r="I74" s="13">
        <v>15</v>
      </c>
      <c r="J74" s="14">
        <v>416.77</v>
      </c>
      <c r="K74" s="13">
        <v>18.260000000000002</v>
      </c>
      <c r="L74" s="25">
        <f t="shared" si="2"/>
        <v>0</v>
      </c>
      <c r="M74" s="1"/>
    </row>
    <row r="75" spans="1:13" ht="18" customHeight="1" x14ac:dyDescent="0.3">
      <c r="A75" s="6">
        <v>8061</v>
      </c>
      <c r="B75" s="6">
        <v>20</v>
      </c>
      <c r="C75" s="6">
        <v>631.33999999999992</v>
      </c>
      <c r="D75" s="7" t="s">
        <v>6</v>
      </c>
      <c r="E75" s="6">
        <v>0</v>
      </c>
      <c r="F75" s="6">
        <v>38.162094199999999</v>
      </c>
      <c r="G75" s="1"/>
      <c r="H75" s="8">
        <v>8061</v>
      </c>
      <c r="I75" s="8">
        <v>20</v>
      </c>
      <c r="J75" s="9">
        <v>631.34</v>
      </c>
      <c r="K75" s="8">
        <v>17.36</v>
      </c>
      <c r="L75" s="25">
        <f t="shared" si="2"/>
        <v>1.8007228707450193E-16</v>
      </c>
      <c r="M75" s="1"/>
    </row>
    <row r="76" spans="1:13" ht="18" customHeight="1" x14ac:dyDescent="0.3">
      <c r="A76" s="11">
        <v>8062</v>
      </c>
      <c r="B76" s="11">
        <v>20</v>
      </c>
      <c r="C76" s="11">
        <v>430.34</v>
      </c>
      <c r="D76" s="7" t="s">
        <v>6</v>
      </c>
      <c r="E76" s="11">
        <v>0</v>
      </c>
      <c r="F76" s="11">
        <v>7.7512682000000002</v>
      </c>
      <c r="G76" s="1"/>
      <c r="H76" s="13">
        <v>8062</v>
      </c>
      <c r="I76" s="13">
        <v>20</v>
      </c>
      <c r="J76" s="14">
        <v>430.34</v>
      </c>
      <c r="K76" s="13">
        <v>37.700000000000003</v>
      </c>
      <c r="L76" s="25">
        <f t="shared" si="2"/>
        <v>0</v>
      </c>
      <c r="M76" s="1"/>
    </row>
    <row r="77" spans="1:13" ht="18" customHeight="1" x14ac:dyDescent="0.3">
      <c r="A77" s="6">
        <v>8063</v>
      </c>
      <c r="B77" s="6">
        <v>20</v>
      </c>
      <c r="C77" s="6">
        <v>481.61</v>
      </c>
      <c r="D77" s="7" t="s">
        <v>6</v>
      </c>
      <c r="E77" s="6">
        <v>0</v>
      </c>
      <c r="F77" s="6">
        <v>6.6192333999999997</v>
      </c>
      <c r="G77" s="1"/>
      <c r="H77" s="8">
        <v>8063</v>
      </c>
      <c r="I77" s="8">
        <v>20</v>
      </c>
      <c r="J77" s="9">
        <v>490.21</v>
      </c>
      <c r="K77" s="8">
        <v>35.97</v>
      </c>
      <c r="L77" s="25">
        <f t="shared" si="2"/>
        <v>1.7856772076991684E-2</v>
      </c>
      <c r="M77" s="1"/>
    </row>
    <row r="78" spans="1:13" ht="18" customHeight="1" x14ac:dyDescent="0.3">
      <c r="A78" s="11">
        <v>8064</v>
      </c>
      <c r="B78" s="11">
        <v>20</v>
      </c>
      <c r="C78" s="11">
        <v>476.75</v>
      </c>
      <c r="D78" s="7" t="s">
        <v>6</v>
      </c>
      <c r="E78" s="11">
        <v>0</v>
      </c>
      <c r="F78" s="11">
        <v>4.4517297999999998</v>
      </c>
      <c r="G78" s="1"/>
      <c r="H78" s="13">
        <v>8064</v>
      </c>
      <c r="I78" s="13">
        <v>20</v>
      </c>
      <c r="J78" s="14">
        <v>476.75</v>
      </c>
      <c r="K78" s="13">
        <v>34.39</v>
      </c>
      <c r="L78" s="25">
        <f t="shared" si="2"/>
        <v>0</v>
      </c>
      <c r="M78" s="1"/>
    </row>
    <row r="79" spans="1:13" ht="18" customHeight="1" x14ac:dyDescent="0.3">
      <c r="A79" s="6">
        <v>8065</v>
      </c>
      <c r="B79" s="6">
        <v>20</v>
      </c>
      <c r="C79" s="6">
        <v>447.29</v>
      </c>
      <c r="D79" s="7" t="s">
        <v>6</v>
      </c>
      <c r="E79" s="6">
        <v>0</v>
      </c>
      <c r="F79" s="6">
        <v>6.1908314000000004</v>
      </c>
      <c r="G79" s="1"/>
      <c r="H79" s="8">
        <v>8065</v>
      </c>
      <c r="I79" s="8">
        <v>20</v>
      </c>
      <c r="J79" s="9">
        <v>447.29</v>
      </c>
      <c r="K79" s="8">
        <v>30.72</v>
      </c>
      <c r="L79" s="25">
        <f t="shared" si="2"/>
        <v>0</v>
      </c>
      <c r="M79" s="1"/>
    </row>
    <row r="80" spans="1:13" ht="18" customHeight="1" x14ac:dyDescent="0.3">
      <c r="A80" s="11">
        <v>8066</v>
      </c>
      <c r="B80" s="11">
        <v>25</v>
      </c>
      <c r="C80" s="11">
        <v>843.38</v>
      </c>
      <c r="D80" s="12" t="s">
        <v>7</v>
      </c>
      <c r="E80" s="11">
        <v>2.736607460456725</v>
      </c>
      <c r="F80" s="11">
        <v>7200.6696474999999</v>
      </c>
      <c r="G80" s="1"/>
      <c r="H80" s="13">
        <v>8066</v>
      </c>
      <c r="I80" s="13">
        <v>25</v>
      </c>
      <c r="J80" s="14">
        <v>847.48</v>
      </c>
      <c r="K80" s="13">
        <v>42.16</v>
      </c>
      <c r="L80" s="25">
        <f t="shared" si="2"/>
        <v>4.861391069268921E-3</v>
      </c>
      <c r="M80" s="1"/>
    </row>
    <row r="81" spans="1:13" ht="18" customHeight="1" x14ac:dyDescent="0.3">
      <c r="A81" s="6">
        <v>8067</v>
      </c>
      <c r="B81" s="6">
        <v>25</v>
      </c>
      <c r="C81" s="6">
        <v>616.57999999999993</v>
      </c>
      <c r="D81" s="7" t="s">
        <v>6</v>
      </c>
      <c r="E81" s="6">
        <v>0</v>
      </c>
      <c r="F81" s="6">
        <v>3198.1136566</v>
      </c>
      <c r="G81" s="1"/>
      <c r="H81" s="8">
        <v>8067</v>
      </c>
      <c r="I81" s="8">
        <v>25</v>
      </c>
      <c r="J81" s="9">
        <v>625.29</v>
      </c>
      <c r="K81" s="8">
        <v>52.47</v>
      </c>
      <c r="L81" s="25">
        <f t="shared" si="2"/>
        <v>1.4126309643517528E-2</v>
      </c>
      <c r="M81" s="1"/>
    </row>
    <row r="82" spans="1:13" ht="18" customHeight="1" x14ac:dyDescent="0.3">
      <c r="A82" s="11">
        <v>8068</v>
      </c>
      <c r="B82" s="11">
        <v>25</v>
      </c>
      <c r="C82" s="11">
        <v>459.88</v>
      </c>
      <c r="D82" s="7" t="s">
        <v>6</v>
      </c>
      <c r="E82" s="11">
        <v>0</v>
      </c>
      <c r="F82" s="11">
        <v>25.0453665</v>
      </c>
      <c r="G82" s="1"/>
      <c r="H82" s="13">
        <v>8068</v>
      </c>
      <c r="I82" s="13">
        <v>25</v>
      </c>
      <c r="J82" s="14">
        <v>459.88</v>
      </c>
      <c r="K82" s="13">
        <v>50.68</v>
      </c>
      <c r="L82" s="25">
        <f t="shared" si="2"/>
        <v>0</v>
      </c>
      <c r="M82" s="1"/>
    </row>
    <row r="83" spans="1:13" ht="18" customHeight="1" x14ac:dyDescent="0.3">
      <c r="A83" s="6">
        <v>8069</v>
      </c>
      <c r="B83" s="6">
        <v>25</v>
      </c>
      <c r="C83" s="6">
        <v>456.52</v>
      </c>
      <c r="D83" s="7" t="s">
        <v>6</v>
      </c>
      <c r="E83" s="6">
        <v>0</v>
      </c>
      <c r="F83" s="6">
        <v>58.054761499999998</v>
      </c>
      <c r="G83" s="1"/>
      <c r="H83" s="8">
        <v>8069</v>
      </c>
      <c r="I83" s="8">
        <v>25</v>
      </c>
      <c r="J83" s="9">
        <v>457.57</v>
      </c>
      <c r="K83" s="8">
        <v>55.27</v>
      </c>
      <c r="L83" s="25">
        <f t="shared" si="2"/>
        <v>2.3000087619381659E-3</v>
      </c>
      <c r="M83" s="1"/>
    </row>
    <row r="84" spans="1:13" ht="18" customHeight="1" x14ac:dyDescent="0.3">
      <c r="A84" s="11">
        <v>8070</v>
      </c>
      <c r="B84" s="11">
        <v>25</v>
      </c>
      <c r="C84" s="11">
        <v>471.07000000000011</v>
      </c>
      <c r="D84" s="7" t="s">
        <v>6</v>
      </c>
      <c r="E84" s="11">
        <v>0</v>
      </c>
      <c r="F84" s="11">
        <v>27.779226099999999</v>
      </c>
      <c r="G84" s="1"/>
      <c r="H84" s="13">
        <v>8070</v>
      </c>
      <c r="I84" s="13">
        <v>25</v>
      </c>
      <c r="J84" s="14">
        <v>593.58000000000004</v>
      </c>
      <c r="K84" s="13">
        <v>50.16</v>
      </c>
      <c r="L84" s="25">
        <f t="shared" si="2"/>
        <v>0.26006750589084404</v>
      </c>
      <c r="M84" s="1"/>
    </row>
    <row r="85" spans="1:13" ht="18" customHeight="1" x14ac:dyDescent="0.3">
      <c r="A85" s="6">
        <v>8071</v>
      </c>
      <c r="B85" s="6">
        <v>30</v>
      </c>
      <c r="C85" s="6">
        <v>877.72</v>
      </c>
      <c r="D85" s="12" t="s">
        <v>7</v>
      </c>
      <c r="E85" s="6">
        <v>4.262179282686958</v>
      </c>
      <c r="F85" s="6">
        <v>7201.0698076999997</v>
      </c>
      <c r="G85" s="1"/>
      <c r="H85" s="8">
        <v>8071</v>
      </c>
      <c r="I85" s="8">
        <v>30</v>
      </c>
      <c r="J85" s="9">
        <v>879.18</v>
      </c>
      <c r="K85" s="8">
        <v>37.47</v>
      </c>
      <c r="L85" s="25">
        <f t="shared" si="2"/>
        <v>1.6634006289020674E-3</v>
      </c>
      <c r="M85" s="1"/>
    </row>
    <row r="86" spans="1:13" ht="18" customHeight="1" x14ac:dyDescent="0.3">
      <c r="A86" s="11">
        <v>8072</v>
      </c>
      <c r="B86" s="11">
        <v>30</v>
      </c>
      <c r="C86" s="11">
        <v>612.1400000000001</v>
      </c>
      <c r="D86" s="7" t="s">
        <v>6</v>
      </c>
      <c r="E86" s="11">
        <v>0</v>
      </c>
      <c r="F86" s="11">
        <v>2290.4218955000001</v>
      </c>
      <c r="G86" s="1"/>
      <c r="H86" s="13">
        <v>8072</v>
      </c>
      <c r="I86" s="13">
        <v>30</v>
      </c>
      <c r="J86" s="14">
        <v>653.58000000000004</v>
      </c>
      <c r="K86" s="13">
        <v>76.22</v>
      </c>
      <c r="L86" s="25">
        <f t="shared" si="2"/>
        <v>6.7696932074361962E-2</v>
      </c>
      <c r="M86" s="1"/>
    </row>
    <row r="87" spans="1:13" ht="18" customHeight="1" x14ac:dyDescent="0.3">
      <c r="A87" s="6">
        <v>8073</v>
      </c>
      <c r="B87" s="6">
        <v>30</v>
      </c>
      <c r="C87" s="6">
        <v>575.39</v>
      </c>
      <c r="D87" s="7" t="s">
        <v>6</v>
      </c>
      <c r="E87" s="6">
        <v>0</v>
      </c>
      <c r="F87" s="6">
        <v>1182.0541376000001</v>
      </c>
      <c r="G87" s="1"/>
      <c r="H87" s="8">
        <v>8073</v>
      </c>
      <c r="I87" s="8">
        <v>30</v>
      </c>
      <c r="J87" s="9">
        <v>580.67999999999995</v>
      </c>
      <c r="K87" s="8">
        <v>74.62</v>
      </c>
      <c r="L87" s="25">
        <f t="shared" si="2"/>
        <v>9.193764229479073E-3</v>
      </c>
      <c r="M87" s="1"/>
    </row>
    <row r="88" spans="1:13" ht="18" customHeight="1" x14ac:dyDescent="0.3">
      <c r="A88" s="11">
        <v>8074</v>
      </c>
      <c r="B88" s="11">
        <v>30</v>
      </c>
      <c r="C88" s="11">
        <v>472.74</v>
      </c>
      <c r="D88" s="7" t="s">
        <v>6</v>
      </c>
      <c r="E88" s="11">
        <v>0</v>
      </c>
      <c r="F88" s="11">
        <v>348.87481589999999</v>
      </c>
      <c r="G88" s="1"/>
      <c r="H88" s="13">
        <v>8074</v>
      </c>
      <c r="I88" s="13">
        <v>30</v>
      </c>
      <c r="J88" s="14">
        <v>595.16999999999996</v>
      </c>
      <c r="K88" s="13">
        <v>79.290000000000006</v>
      </c>
      <c r="L88" s="25">
        <f t="shared" si="2"/>
        <v>0.25897956593476318</v>
      </c>
      <c r="M88" s="1"/>
    </row>
    <row r="89" spans="1:13" ht="18" customHeight="1" x14ac:dyDescent="0.3">
      <c r="A89" s="6">
        <v>8075</v>
      </c>
      <c r="B89" s="6">
        <v>30</v>
      </c>
      <c r="C89" s="6">
        <v>575.63000000000011</v>
      </c>
      <c r="D89" s="12" t="s">
        <v>7</v>
      </c>
      <c r="E89" s="6">
        <v>8.2396678421903058</v>
      </c>
      <c r="F89" s="6">
        <v>7204.0711164000004</v>
      </c>
      <c r="G89" s="1"/>
      <c r="H89" s="8">
        <v>8075</v>
      </c>
      <c r="I89" s="8">
        <v>30</v>
      </c>
      <c r="J89" s="9">
        <v>587.95000000000005</v>
      </c>
      <c r="K89" s="8">
        <v>65.81</v>
      </c>
      <c r="L89" s="25">
        <f t="shared" si="2"/>
        <v>2.1402637110643875E-2</v>
      </c>
      <c r="M89" s="1"/>
    </row>
    <row r="90" spans="1:13" ht="18" customHeight="1" x14ac:dyDescent="0.3">
      <c r="A90" s="11">
        <v>8076</v>
      </c>
      <c r="B90" s="11">
        <v>10</v>
      </c>
      <c r="C90" s="11">
        <v>484.49</v>
      </c>
      <c r="D90" s="7" t="s">
        <v>6</v>
      </c>
      <c r="E90" s="11">
        <v>0</v>
      </c>
      <c r="F90" s="11">
        <v>17.787490200000001</v>
      </c>
      <c r="G90" s="1"/>
      <c r="H90" s="13">
        <v>8076</v>
      </c>
      <c r="I90" s="13">
        <v>10</v>
      </c>
      <c r="J90" s="14">
        <v>492.36</v>
      </c>
      <c r="K90" s="13">
        <v>9.24</v>
      </c>
      <c r="L90" s="25">
        <f t="shared" si="2"/>
        <v>1.624388532271049E-2</v>
      </c>
      <c r="M90" s="1"/>
    </row>
    <row r="91" spans="1:13" ht="18" customHeight="1" x14ac:dyDescent="0.3">
      <c r="A91" s="6">
        <v>8077</v>
      </c>
      <c r="B91" s="6">
        <v>10</v>
      </c>
      <c r="C91" s="6">
        <v>373.09</v>
      </c>
      <c r="D91" s="7" t="s">
        <v>6</v>
      </c>
      <c r="E91" s="6">
        <v>0</v>
      </c>
      <c r="F91" s="6">
        <v>0.66989010000000004</v>
      </c>
      <c r="G91" s="1"/>
      <c r="H91" s="8">
        <v>8077</v>
      </c>
      <c r="I91" s="8">
        <v>10</v>
      </c>
      <c r="J91" s="9">
        <v>373.09</v>
      </c>
      <c r="K91" s="8">
        <v>9.5299999999999994</v>
      </c>
      <c r="L91" s="25">
        <f t="shared" si="2"/>
        <v>0</v>
      </c>
      <c r="M91" s="1"/>
    </row>
    <row r="92" spans="1:13" ht="18" customHeight="1" x14ac:dyDescent="0.3">
      <c r="A92" s="11">
        <v>8078</v>
      </c>
      <c r="B92" s="11">
        <v>10</v>
      </c>
      <c r="C92" s="11">
        <v>400.5</v>
      </c>
      <c r="D92" s="7" t="s">
        <v>6</v>
      </c>
      <c r="E92" s="11">
        <v>0</v>
      </c>
      <c r="F92" s="11">
        <v>3.0621287000000001</v>
      </c>
      <c r="G92" s="1"/>
      <c r="H92" s="13">
        <v>8078</v>
      </c>
      <c r="I92" s="13">
        <v>10</v>
      </c>
      <c r="J92" s="14">
        <v>402.1</v>
      </c>
      <c r="K92" s="13">
        <v>9.7799999999999994</v>
      </c>
      <c r="L92" s="25">
        <f t="shared" si="2"/>
        <v>3.9950062421973105E-3</v>
      </c>
      <c r="M92" s="1"/>
    </row>
    <row r="93" spans="1:13" ht="18" customHeight="1" x14ac:dyDescent="0.3">
      <c r="A93" s="6">
        <v>8079</v>
      </c>
      <c r="B93" s="6">
        <v>10</v>
      </c>
      <c r="C93" s="6">
        <v>381.95</v>
      </c>
      <c r="D93" s="7" t="s">
        <v>6</v>
      </c>
      <c r="E93" s="6">
        <v>0</v>
      </c>
      <c r="F93" s="6">
        <v>4.0745009999999997</v>
      </c>
      <c r="G93" s="1"/>
      <c r="H93" s="8">
        <v>8079</v>
      </c>
      <c r="I93" s="8">
        <v>10</v>
      </c>
      <c r="J93" s="9">
        <v>381.95</v>
      </c>
      <c r="K93" s="8">
        <v>15.67</v>
      </c>
      <c r="L93" s="25">
        <f t="shared" si="2"/>
        <v>0</v>
      </c>
      <c r="M93" s="1"/>
    </row>
    <row r="94" spans="1:13" ht="18" customHeight="1" x14ac:dyDescent="0.3">
      <c r="A94" s="11">
        <v>8080</v>
      </c>
      <c r="B94" s="11">
        <v>10</v>
      </c>
      <c r="C94" s="11">
        <v>430.68</v>
      </c>
      <c r="D94" s="7" t="s">
        <v>6</v>
      </c>
      <c r="E94" s="11">
        <v>0</v>
      </c>
      <c r="F94" s="11">
        <v>2.1915602000000001</v>
      </c>
      <c r="G94" s="1"/>
      <c r="H94" s="13">
        <v>8080</v>
      </c>
      <c r="I94" s="13">
        <v>10</v>
      </c>
      <c r="J94" s="14">
        <v>430.68</v>
      </c>
      <c r="K94" s="13">
        <v>9.48</v>
      </c>
      <c r="L94" s="25">
        <f t="shared" si="2"/>
        <v>0</v>
      </c>
      <c r="M94" s="1"/>
    </row>
    <row r="95" spans="1:13" ht="18" customHeight="1" x14ac:dyDescent="0.3">
      <c r="A95" s="6">
        <v>8081</v>
      </c>
      <c r="B95" s="6">
        <v>15</v>
      </c>
      <c r="C95" s="6">
        <v>781.93999999999994</v>
      </c>
      <c r="D95" s="7" t="s">
        <v>6</v>
      </c>
      <c r="E95" s="6">
        <v>0</v>
      </c>
      <c r="F95" s="6">
        <v>20.6405827</v>
      </c>
      <c r="G95" s="1"/>
      <c r="H95" s="8">
        <v>8081</v>
      </c>
      <c r="I95" s="8">
        <v>15</v>
      </c>
      <c r="J95" s="9">
        <v>865.5</v>
      </c>
      <c r="K95" s="8">
        <v>13.69</v>
      </c>
      <c r="L95" s="25">
        <f t="shared" si="2"/>
        <v>0.10686241911144086</v>
      </c>
      <c r="M95" s="1"/>
    </row>
    <row r="96" spans="1:13" ht="18" customHeight="1" x14ac:dyDescent="0.3">
      <c r="A96" s="11">
        <v>8082</v>
      </c>
      <c r="B96" s="11">
        <v>15</v>
      </c>
      <c r="C96" s="11">
        <v>419.62</v>
      </c>
      <c r="D96" s="7" t="s">
        <v>6</v>
      </c>
      <c r="E96" s="11">
        <v>0</v>
      </c>
      <c r="F96" s="11">
        <v>1.5292269999999999</v>
      </c>
      <c r="G96" s="1"/>
      <c r="H96" s="13">
        <v>8082</v>
      </c>
      <c r="I96" s="13">
        <v>15</v>
      </c>
      <c r="J96" s="14">
        <v>419.62</v>
      </c>
      <c r="K96" s="13">
        <v>18.66</v>
      </c>
      <c r="L96" s="25">
        <f t="shared" si="2"/>
        <v>0</v>
      </c>
      <c r="M96" s="1"/>
    </row>
    <row r="97" spans="1:13" ht="18" customHeight="1" x14ac:dyDescent="0.3">
      <c r="A97" s="6">
        <v>8083</v>
      </c>
      <c r="B97" s="6">
        <v>15</v>
      </c>
      <c r="C97" s="6">
        <v>585.07000000000005</v>
      </c>
      <c r="D97" s="7" t="s">
        <v>6</v>
      </c>
      <c r="E97" s="6">
        <v>0</v>
      </c>
      <c r="F97" s="6">
        <v>6.7605551000000004</v>
      </c>
      <c r="G97" s="1"/>
      <c r="H97" s="8">
        <v>8083</v>
      </c>
      <c r="I97" s="8">
        <v>15</v>
      </c>
      <c r="J97" s="9">
        <v>612.30999999999995</v>
      </c>
      <c r="K97" s="8">
        <v>23.14</v>
      </c>
      <c r="L97" s="25">
        <f t="shared" si="2"/>
        <v>4.6558531457774104E-2</v>
      </c>
      <c r="M97" s="1"/>
    </row>
    <row r="98" spans="1:13" ht="18" customHeight="1" x14ac:dyDescent="0.3">
      <c r="A98" s="11">
        <v>8084</v>
      </c>
      <c r="B98" s="11">
        <v>15</v>
      </c>
      <c r="C98" s="11">
        <v>422.66</v>
      </c>
      <c r="D98" s="7" t="s">
        <v>6</v>
      </c>
      <c r="E98" s="11">
        <v>0</v>
      </c>
      <c r="F98" s="11">
        <v>2.3670882999999998</v>
      </c>
      <c r="G98" s="1"/>
      <c r="H98" s="13">
        <v>8084</v>
      </c>
      <c r="I98" s="13">
        <v>15</v>
      </c>
      <c r="J98" s="14">
        <v>422.66</v>
      </c>
      <c r="K98" s="13">
        <v>17.940000000000001</v>
      </c>
      <c r="L98" s="25">
        <f t="shared" si="2"/>
        <v>0</v>
      </c>
      <c r="M98" s="1"/>
    </row>
    <row r="99" spans="1:13" ht="18" customHeight="1" x14ac:dyDescent="0.3">
      <c r="A99" s="6">
        <v>8085</v>
      </c>
      <c r="B99" s="6">
        <v>15</v>
      </c>
      <c r="C99" s="6">
        <v>374.32</v>
      </c>
      <c r="D99" s="7" t="s">
        <v>6</v>
      </c>
      <c r="E99" s="6">
        <v>0</v>
      </c>
      <c r="F99" s="6">
        <v>1.0163903000000001</v>
      </c>
      <c r="G99" s="1"/>
      <c r="H99" s="8">
        <v>8085</v>
      </c>
      <c r="I99" s="8">
        <v>15</v>
      </c>
      <c r="J99" s="9">
        <v>374.69</v>
      </c>
      <c r="K99" s="8">
        <v>16.97</v>
      </c>
      <c r="L99" s="25">
        <f t="shared" ref="L99:L113" si="3">IF(C99=0,"",(J99-C99)/C99)</f>
        <v>9.8845907245139072E-4</v>
      </c>
      <c r="M99" s="1"/>
    </row>
    <row r="100" spans="1:13" ht="18" customHeight="1" x14ac:dyDescent="0.3">
      <c r="A100" s="11">
        <v>8086</v>
      </c>
      <c r="B100" s="11">
        <v>20</v>
      </c>
      <c r="C100" s="11">
        <v>939.54</v>
      </c>
      <c r="D100" s="12" t="s">
        <v>7</v>
      </c>
      <c r="E100" s="11">
        <v>3.13557698448176</v>
      </c>
      <c r="F100" s="11">
        <v>7200.6665063</v>
      </c>
      <c r="G100" s="1"/>
      <c r="H100" s="13">
        <v>8086</v>
      </c>
      <c r="I100" s="13">
        <v>20</v>
      </c>
      <c r="J100" s="14">
        <v>957.97</v>
      </c>
      <c r="K100" s="13">
        <v>33.56</v>
      </c>
      <c r="L100" s="25">
        <f t="shared" si="3"/>
        <v>1.9615982289205424E-2</v>
      </c>
      <c r="M100" s="1"/>
    </row>
    <row r="101" spans="1:13" ht="18" customHeight="1" x14ac:dyDescent="0.3">
      <c r="A101" s="6">
        <v>8087</v>
      </c>
      <c r="B101" s="6">
        <v>20</v>
      </c>
      <c r="C101" s="6">
        <v>561.31000000000006</v>
      </c>
      <c r="D101" s="7" t="s">
        <v>6</v>
      </c>
      <c r="E101" s="6">
        <v>0</v>
      </c>
      <c r="F101" s="6">
        <v>363.53425979999997</v>
      </c>
      <c r="G101" s="1"/>
      <c r="H101" s="8">
        <v>8087</v>
      </c>
      <c r="I101" s="8">
        <v>20</v>
      </c>
      <c r="J101" s="9">
        <v>625.77</v>
      </c>
      <c r="K101" s="8">
        <v>31.11</v>
      </c>
      <c r="L101" s="25">
        <f t="shared" si="3"/>
        <v>0.11483850278812049</v>
      </c>
      <c r="M101" s="1"/>
    </row>
    <row r="102" spans="1:13" ht="18" customHeight="1" x14ac:dyDescent="0.3">
      <c r="A102" s="11">
        <v>8088</v>
      </c>
      <c r="B102" s="11">
        <v>20</v>
      </c>
      <c r="C102" s="11">
        <v>536.75</v>
      </c>
      <c r="D102" s="7" t="s">
        <v>6</v>
      </c>
      <c r="E102" s="11">
        <v>0</v>
      </c>
      <c r="F102" s="11">
        <v>104.2795461</v>
      </c>
      <c r="G102" s="1"/>
      <c r="H102" s="13">
        <v>8088</v>
      </c>
      <c r="I102" s="13">
        <v>20</v>
      </c>
      <c r="J102" s="14">
        <v>617.92999999999995</v>
      </c>
      <c r="K102" s="13">
        <v>34.21</v>
      </c>
      <c r="L102" s="25">
        <f t="shared" si="3"/>
        <v>0.151243595714951</v>
      </c>
      <c r="M102" s="1"/>
    </row>
    <row r="103" spans="1:13" ht="18" customHeight="1" x14ac:dyDescent="0.3">
      <c r="A103" s="6">
        <v>8089</v>
      </c>
      <c r="B103" s="6">
        <v>20</v>
      </c>
      <c r="C103" s="6">
        <v>589.19999999999993</v>
      </c>
      <c r="D103" s="7" t="s">
        <v>6</v>
      </c>
      <c r="E103" s="6">
        <v>0</v>
      </c>
      <c r="F103" s="6">
        <v>36.170574000000002</v>
      </c>
      <c r="G103" s="1"/>
      <c r="H103" s="8">
        <v>8089</v>
      </c>
      <c r="I103" s="8">
        <v>20</v>
      </c>
      <c r="J103" s="9">
        <v>596.34</v>
      </c>
      <c r="K103" s="8">
        <v>27.09</v>
      </c>
      <c r="L103" s="25">
        <f t="shared" si="3"/>
        <v>1.2118126272912595E-2</v>
      </c>
      <c r="M103" s="1"/>
    </row>
    <row r="104" spans="1:13" ht="18" customHeight="1" x14ac:dyDescent="0.3">
      <c r="A104" s="11">
        <v>8090</v>
      </c>
      <c r="B104" s="11">
        <v>20</v>
      </c>
      <c r="C104" s="11">
        <v>512.81999999999994</v>
      </c>
      <c r="D104" s="7" t="s">
        <v>6</v>
      </c>
      <c r="E104" s="11">
        <v>0</v>
      </c>
      <c r="F104" s="11">
        <v>5957.1859017999996</v>
      </c>
      <c r="G104" s="1"/>
      <c r="H104" s="13">
        <v>8090</v>
      </c>
      <c r="I104" s="13">
        <v>20</v>
      </c>
      <c r="J104" s="14">
        <v>517.08000000000004</v>
      </c>
      <c r="K104" s="13">
        <v>27.46</v>
      </c>
      <c r="L104" s="25">
        <f t="shared" si="3"/>
        <v>8.3070083070085118E-3</v>
      </c>
      <c r="M104" s="1"/>
    </row>
    <row r="105" spans="1:13" ht="18" customHeight="1" x14ac:dyDescent="0.3">
      <c r="A105" s="6">
        <v>8091</v>
      </c>
      <c r="B105" s="6">
        <v>25</v>
      </c>
      <c r="C105" s="6">
        <v>1010.19</v>
      </c>
      <c r="D105" s="12" t="s">
        <v>7</v>
      </c>
      <c r="E105" s="6">
        <v>8.6706461160771777</v>
      </c>
      <c r="F105" s="6">
        <v>7202.1852556000003</v>
      </c>
      <c r="G105" s="1"/>
      <c r="H105" s="8">
        <v>8091</v>
      </c>
      <c r="I105" s="8">
        <v>25</v>
      </c>
      <c r="J105" s="9">
        <v>1119.7</v>
      </c>
      <c r="K105" s="8">
        <v>45.43</v>
      </c>
      <c r="L105" s="25">
        <f t="shared" si="3"/>
        <v>0.10840534948871003</v>
      </c>
      <c r="M105" s="1"/>
    </row>
    <row r="106" spans="1:13" ht="18" customHeight="1" x14ac:dyDescent="0.3">
      <c r="A106" s="11">
        <v>8092</v>
      </c>
      <c r="B106" s="11">
        <v>25</v>
      </c>
      <c r="C106" s="11">
        <v>717.93000000000006</v>
      </c>
      <c r="D106" s="7" t="s">
        <v>6</v>
      </c>
      <c r="E106" s="11">
        <v>0</v>
      </c>
      <c r="F106" s="11">
        <v>1503.5766116</v>
      </c>
      <c r="G106" s="1"/>
      <c r="H106" s="13">
        <v>8092</v>
      </c>
      <c r="I106" s="13">
        <v>25</v>
      </c>
      <c r="J106" s="14">
        <v>727.03</v>
      </c>
      <c r="K106" s="13">
        <v>42.9</v>
      </c>
      <c r="L106" s="25">
        <f t="shared" si="3"/>
        <v>1.2675330463972683E-2</v>
      </c>
      <c r="M106" s="1"/>
    </row>
    <row r="107" spans="1:13" ht="18" customHeight="1" x14ac:dyDescent="0.3">
      <c r="A107" s="6">
        <v>8093</v>
      </c>
      <c r="B107" s="6">
        <v>25</v>
      </c>
      <c r="C107" s="6">
        <v>826.66</v>
      </c>
      <c r="D107" s="12" t="s">
        <v>7</v>
      </c>
      <c r="E107" s="6">
        <v>5.0903636319647649</v>
      </c>
      <c r="F107" s="6">
        <v>7199.9759929000002</v>
      </c>
      <c r="G107" s="1"/>
      <c r="H107" s="8">
        <v>8093</v>
      </c>
      <c r="I107" s="8">
        <v>25</v>
      </c>
      <c r="J107" s="9">
        <v>864.54</v>
      </c>
      <c r="K107" s="8">
        <v>47.25</v>
      </c>
      <c r="L107" s="25">
        <f t="shared" si="3"/>
        <v>4.5822950185082131E-2</v>
      </c>
      <c r="M107" s="1"/>
    </row>
    <row r="108" spans="1:13" ht="18" customHeight="1" x14ac:dyDescent="0.3">
      <c r="A108" s="11">
        <v>8094</v>
      </c>
      <c r="B108" s="11">
        <v>25</v>
      </c>
      <c r="C108" s="11">
        <v>820.21</v>
      </c>
      <c r="D108" s="7" t="s">
        <v>6</v>
      </c>
      <c r="E108" s="11">
        <v>0</v>
      </c>
      <c r="F108" s="11">
        <v>1135.2147227</v>
      </c>
      <c r="G108" s="1"/>
      <c r="H108" s="13">
        <v>8094</v>
      </c>
      <c r="I108" s="13">
        <v>25</v>
      </c>
      <c r="J108" s="14">
        <v>820.54</v>
      </c>
      <c r="K108" s="13">
        <v>42.23</v>
      </c>
      <c r="L108" s="25">
        <f t="shared" si="3"/>
        <v>4.0233598712515969E-4</v>
      </c>
      <c r="M108" s="1"/>
    </row>
    <row r="109" spans="1:13" ht="18" customHeight="1" x14ac:dyDescent="0.3">
      <c r="A109" s="6">
        <v>8095</v>
      </c>
      <c r="B109" s="6">
        <v>25</v>
      </c>
      <c r="C109" s="6">
        <v>715.22</v>
      </c>
      <c r="D109" s="7" t="s">
        <v>6</v>
      </c>
      <c r="E109" s="6">
        <v>0</v>
      </c>
      <c r="F109" s="6">
        <v>1669.8535753000001</v>
      </c>
      <c r="G109" s="1"/>
      <c r="H109" s="8">
        <v>8095</v>
      </c>
      <c r="I109" s="8">
        <v>25</v>
      </c>
      <c r="J109" s="9">
        <v>718.98</v>
      </c>
      <c r="K109" s="8">
        <v>48.35</v>
      </c>
      <c r="L109" s="25">
        <f t="shared" si="3"/>
        <v>5.2571236822236385E-3</v>
      </c>
      <c r="M109" s="1"/>
    </row>
    <row r="110" spans="1:13" ht="18" customHeight="1" x14ac:dyDescent="0.3">
      <c r="A110" s="11">
        <v>8096</v>
      </c>
      <c r="B110" s="11">
        <v>30</v>
      </c>
      <c r="C110" s="11">
        <v>1302.79</v>
      </c>
      <c r="D110" s="12" t="s">
        <v>7</v>
      </c>
      <c r="E110" s="11">
        <v>6.5083397938270924</v>
      </c>
      <c r="F110" s="11">
        <v>7205.3598143999998</v>
      </c>
      <c r="G110" s="1"/>
      <c r="H110" s="13">
        <v>8096</v>
      </c>
      <c r="I110" s="13">
        <v>30</v>
      </c>
      <c r="J110" s="14">
        <v>1438.64</v>
      </c>
      <c r="K110" s="13">
        <v>58.04</v>
      </c>
      <c r="L110" s="25">
        <f t="shared" si="3"/>
        <v>0.10427620721681939</v>
      </c>
      <c r="M110" s="1"/>
    </row>
    <row r="111" spans="1:13" ht="18" customHeight="1" x14ac:dyDescent="0.3">
      <c r="A111" s="6">
        <v>8097</v>
      </c>
      <c r="B111" s="6">
        <v>30</v>
      </c>
      <c r="C111" s="6">
        <v>698.40000000000009</v>
      </c>
      <c r="D111" s="12" t="s">
        <v>7</v>
      </c>
      <c r="E111" s="6">
        <v>7.7806414662084791</v>
      </c>
      <c r="F111" s="6">
        <v>7205.0198859000002</v>
      </c>
      <c r="G111" s="1"/>
      <c r="H111" s="8">
        <v>8097</v>
      </c>
      <c r="I111" s="8">
        <v>30</v>
      </c>
      <c r="J111" s="9">
        <v>761.75</v>
      </c>
      <c r="K111" s="8">
        <v>68.069999999999993</v>
      </c>
      <c r="L111" s="25">
        <f t="shared" si="3"/>
        <v>9.0707331042382447E-2</v>
      </c>
      <c r="M111" s="1"/>
    </row>
    <row r="112" spans="1:13" ht="18" customHeight="1" x14ac:dyDescent="0.3">
      <c r="A112" s="11">
        <v>8098</v>
      </c>
      <c r="B112" s="11">
        <v>30</v>
      </c>
      <c r="C112" s="11">
        <v>983.55</v>
      </c>
      <c r="D112" s="12" t="s">
        <v>7</v>
      </c>
      <c r="E112" s="11">
        <v>8.7438361039092971</v>
      </c>
      <c r="F112" s="11">
        <v>7202.2861469999998</v>
      </c>
      <c r="G112" s="1"/>
      <c r="H112" s="13">
        <v>8098</v>
      </c>
      <c r="I112" s="13">
        <v>30</v>
      </c>
      <c r="J112" s="14">
        <v>1024.23</v>
      </c>
      <c r="K112" s="13">
        <v>66.56</v>
      </c>
      <c r="L112" s="25">
        <f t="shared" si="3"/>
        <v>4.1360378221747818E-2</v>
      </c>
      <c r="M112" s="1"/>
    </row>
    <row r="113" spans="1:14" ht="18" customHeight="1" x14ac:dyDescent="0.3">
      <c r="A113" s="6">
        <v>8099</v>
      </c>
      <c r="B113" s="6">
        <v>30</v>
      </c>
      <c r="C113" s="6">
        <v>742.84</v>
      </c>
      <c r="D113" s="12" t="s">
        <v>7</v>
      </c>
      <c r="E113" s="6">
        <v>10.057347477249481</v>
      </c>
      <c r="F113" s="6">
        <v>7201.6517260999999</v>
      </c>
      <c r="G113" s="1"/>
      <c r="H113" s="8">
        <v>8099</v>
      </c>
      <c r="I113" s="8">
        <v>30</v>
      </c>
      <c r="J113" s="9">
        <v>762.14</v>
      </c>
      <c r="K113" s="8">
        <v>69.31</v>
      </c>
      <c r="L113" s="25">
        <f t="shared" si="3"/>
        <v>2.598136880081842E-2</v>
      </c>
      <c r="M113" s="1"/>
    </row>
    <row r="114" spans="1:14" ht="15" x14ac:dyDescent="0.35">
      <c r="A114" s="19">
        <v>8100</v>
      </c>
      <c r="B114" s="19">
        <v>30</v>
      </c>
      <c r="C114" s="19">
        <v>818</v>
      </c>
      <c r="D114" s="20" t="s">
        <v>7</v>
      </c>
      <c r="E114" s="19">
        <v>4.0452322738386348</v>
      </c>
      <c r="F114" s="19">
        <v>7202.0647288999999</v>
      </c>
      <c r="G114" s="23"/>
      <c r="H114" s="21">
        <v>8100</v>
      </c>
      <c r="I114" s="21">
        <v>30</v>
      </c>
      <c r="J114" s="22">
        <v>950.27</v>
      </c>
      <c r="K114" s="21">
        <v>63.66</v>
      </c>
      <c r="L114" s="26"/>
      <c r="M114" s="23"/>
      <c r="N114" s="24"/>
    </row>
  </sheetData>
  <mergeCells count="2">
    <mergeCell ref="A1:F1"/>
    <mergeCell ref="H1:K1"/>
  </mergeCells>
  <conditionalFormatting sqref="L3:L114">
    <cfRule type="expression" dxfId="2" priority="1">
      <formula>AND(L3&lt;&gt;"",L3&gt;=0)</formula>
    </cfRule>
    <cfRule type="expression" dxfId="1" priority="2">
      <formula>AND(L3&lt;&gt;"",L3&lt;0,D3="TIME_LIMIT")</formula>
    </cfRule>
    <cfRule type="expression" dxfId="0" priority="3">
      <formula>AND(L3&lt;&gt;"",L3&lt;0,D3="OPTIMAL")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CE</vt:lpstr>
      <vt:lpstr>CE_A</vt:lpstr>
      <vt:lpstr>CEc8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Vargas Carvalheira</cp:lastModifiedBy>
  <dcterms:created xsi:type="dcterms:W3CDTF">2026-04-12T14:20:52Z</dcterms:created>
  <dcterms:modified xsi:type="dcterms:W3CDTF">2026-04-14T19:41:46Z</dcterms:modified>
</cp:coreProperties>
</file>